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on01/Documents/Cambridge 2018-2019/Rosenfeld Lab/PBCP/Clinical data/"/>
    </mc:Choice>
  </mc:AlternateContent>
  <xr:revisionPtr revIDLastSave="0" documentId="13_ncr:1_{87B13BEB-FE0B-E843-94FE-F76A55C71585}" xr6:coauthVersionLast="36" xr6:coauthVersionMax="36" xr10:uidLastSave="{00000000-0000-0000-0000-000000000000}"/>
  <bookViews>
    <workbookView xWindow="520" yWindow="460" windowWidth="18500" windowHeight="20080" xr2:uid="{00000000-000D-0000-FFFF-FFFF00000000}"/>
  </bookViews>
  <sheets>
    <sheet name="For pilot" sheetId="1" r:id="rId1"/>
    <sheet name="Dates collection" sheetId="4" r:id="rId2"/>
    <sheet name="Excluded" sheetId="2" r:id="rId3"/>
    <sheet name="Sheet3" sheetId="3" r:id="rId4"/>
  </sheets>
  <calcPr calcId="181029" concurrentCalc="0"/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E45" i="1"/>
  <c r="E44" i="1"/>
  <c r="E43" i="1"/>
  <c r="E42" i="1"/>
  <c r="E41" i="1"/>
  <c r="D46" i="1"/>
  <c r="C44" i="1"/>
  <c r="C43" i="1"/>
  <c r="C42" i="1"/>
  <c r="B45" i="1"/>
  <c r="B44" i="1"/>
  <c r="B43" i="1"/>
  <c r="B42" i="1"/>
  <c r="H48" i="1"/>
  <c r="H47" i="1"/>
  <c r="H46" i="1"/>
  <c r="H45" i="1"/>
  <c r="H44" i="1"/>
  <c r="H43" i="1"/>
  <c r="H42" i="1"/>
  <c r="H41" i="1"/>
  <c r="G46" i="1"/>
  <c r="G45" i="1"/>
  <c r="G44" i="1"/>
  <c r="G43" i="1"/>
  <c r="G42" i="1"/>
  <c r="G41" i="1"/>
  <c r="F53" i="1"/>
  <c r="F52" i="1"/>
  <c r="F51" i="1"/>
  <c r="F50" i="1"/>
  <c r="F49" i="1"/>
  <c r="F48" i="1"/>
  <c r="F47" i="1"/>
  <c r="F46" i="1"/>
  <c r="D45" i="1"/>
  <c r="D44" i="1"/>
  <c r="D43" i="1"/>
  <c r="D42" i="1"/>
  <c r="D41" i="1"/>
</calcChain>
</file>

<file path=xl/sharedStrings.xml><?xml version="1.0" encoding="utf-8"?>
<sst xmlns="http://schemas.openxmlformats.org/spreadsheetml/2006/main" count="458" uniqueCount="141">
  <si>
    <t>PBCP ID</t>
  </si>
  <si>
    <t>DETECT</t>
  </si>
  <si>
    <t>PARTNER</t>
  </si>
  <si>
    <t>Plasma studies</t>
  </si>
  <si>
    <t>Timepoint 1</t>
  </si>
  <si>
    <t>Vol of plasma</t>
  </si>
  <si>
    <t>Buffy coat</t>
  </si>
  <si>
    <t>One off</t>
  </si>
  <si>
    <t>5x1ml</t>
  </si>
  <si>
    <t>Location</t>
  </si>
  <si>
    <t>CI: Box 17 6B-5C</t>
  </si>
  <si>
    <t>2x washed</t>
  </si>
  <si>
    <t>Timepoint 2</t>
  </si>
  <si>
    <t>4x1ml</t>
  </si>
  <si>
    <t>CI: Box 21 6H-I5</t>
  </si>
  <si>
    <t>Timepoint 3</t>
  </si>
  <si>
    <t>CI: Box 26 8F-1G; 1H-2H</t>
  </si>
  <si>
    <t>Timepoint 4</t>
  </si>
  <si>
    <t>6x1ml, 1x0.75ml</t>
  </si>
  <si>
    <t>Nil</t>
  </si>
  <si>
    <t>CI: Box 34 1C-7C</t>
  </si>
  <si>
    <t>Timepoint 5</t>
  </si>
  <si>
    <t>7x1ml</t>
  </si>
  <si>
    <t>CI: Box 44 I4-I10</t>
  </si>
  <si>
    <t>2x1.5ml, 1x1ml</t>
  </si>
  <si>
    <t>Timepoint 6</t>
  </si>
  <si>
    <t>CI: Box 106 4C-6C</t>
  </si>
  <si>
    <t>Neurosurgery (PD)</t>
  </si>
  <si>
    <t>Timepoint 7</t>
  </si>
  <si>
    <t>5x1.5ml, 1x 0.75ml + 2x1.5ml, 1x0.5ml (PBCP)</t>
  </si>
  <si>
    <t>Sent to CMDL- spares? 1x7.5ml whole blood</t>
  </si>
  <si>
    <t xml:space="preserve">DETECT: CI Box 139 7B-2C; PBCP Box 1 7A-9A </t>
  </si>
  <si>
    <t>Timepoint 8</t>
  </si>
  <si>
    <t>6x1.5ml</t>
  </si>
  <si>
    <t>3x1.5ml moved to CI, 3x1.5ml CBCRU box 144 5B-7B</t>
  </si>
  <si>
    <t>Timepoint 9</t>
  </si>
  <si>
    <t>Pre-treatment</t>
  </si>
  <si>
    <t>2x unwashed</t>
  </si>
  <si>
    <t>3 weeks post tx</t>
  </si>
  <si>
    <t>Week 8/surgery</t>
  </si>
  <si>
    <t>PBCP biopsy</t>
  </si>
  <si>
    <t>2x1.5ml, 1x1.25ml</t>
  </si>
  <si>
    <t>PBCP Box 1: 8-10H</t>
  </si>
  <si>
    <t>5x1.5ml</t>
  </si>
  <si>
    <t>DETECT Box: 148 6-10A</t>
  </si>
  <si>
    <t>1x4.5ml, 2x1.5ml</t>
  </si>
  <si>
    <t xml:space="preserve">2x washed </t>
  </si>
  <si>
    <t>DETECT: Box 159 A6, Box 160: 3&amp;4B, Box 161: 9&amp;10A</t>
  </si>
  <si>
    <t>4.5ml at CI/CMDL? DETECT Box 157: 5&amp;6I</t>
  </si>
  <si>
    <t>Mid-treatment</t>
  </si>
  <si>
    <t>Post chemo</t>
  </si>
  <si>
    <t>Timepoint 10</t>
  </si>
  <si>
    <t>Timepoint 11</t>
  </si>
  <si>
    <t>Timepoint 12</t>
  </si>
  <si>
    <t>Timepoint 13</t>
  </si>
  <si>
    <t>Timepoint 14</t>
  </si>
  <si>
    <t>6 weeks post tx</t>
  </si>
  <si>
    <t>9 weeks post tx</t>
  </si>
  <si>
    <t>Timepoint 15</t>
  </si>
  <si>
    <t>Pre-op</t>
  </si>
  <si>
    <t>Post-op</t>
  </si>
  <si>
    <t>2 weeks post-op</t>
  </si>
  <si>
    <t>3 months post-op</t>
  </si>
  <si>
    <t>8 months post-op</t>
  </si>
  <si>
    <t>Post #1</t>
  </si>
  <si>
    <t>6 months post-op</t>
  </si>
  <si>
    <t>Partner Box 2: 7C-1D; Box 1: 1&amp;2B</t>
  </si>
  <si>
    <t>Partner Box 2: 10E-4F, Box 1: 9&amp;10B</t>
  </si>
  <si>
    <t>Partner Box 4: 9A-3B, Box 1: 8&amp;9D</t>
  </si>
  <si>
    <t>3x1.5ml, 1x0.5ml</t>
  </si>
  <si>
    <t>Partner Box 5: 7B-10B, Box 1: 9&amp;10H</t>
  </si>
  <si>
    <t>5x1.5ml, 1x0.25ml</t>
  </si>
  <si>
    <t>Partner Box 5: 10G-5H; Box 6L 1&amp;2A</t>
  </si>
  <si>
    <t>4x1.5ml, 1x0.25ml</t>
  </si>
  <si>
    <t>Partner Box12: 4J-8J; Box 11: 3&amp;4 G</t>
  </si>
  <si>
    <t>F/U bloods due 2018</t>
  </si>
  <si>
    <t>Ongoing</t>
  </si>
  <si>
    <t>Immediately post-op</t>
  </si>
  <si>
    <t>7 weeks post op</t>
  </si>
  <si>
    <t>6 months post op</t>
  </si>
  <si>
    <t>12 weeks post tx</t>
  </si>
  <si>
    <t>Deceased</t>
  </si>
  <si>
    <t>12 months post-op</t>
  </si>
  <si>
    <t>12 months post op</t>
  </si>
  <si>
    <t>T-NEO 89, DETECT 291</t>
  </si>
  <si>
    <t>PARTNER 1002</t>
  </si>
  <si>
    <t>REVEAL 009</t>
  </si>
  <si>
    <t>REVEAL 020</t>
  </si>
  <si>
    <t>PARTNER 1064</t>
  </si>
  <si>
    <t>DETECT 294</t>
  </si>
  <si>
    <t>DETECT 274</t>
  </si>
  <si>
    <t>Not sent</t>
  </si>
  <si>
    <t>Collection date</t>
  </si>
  <si>
    <t>Cancer stage:</t>
  </si>
  <si>
    <t>Stage IIA (T2, N0, M0)</t>
  </si>
  <si>
    <t>Stage 4</t>
  </si>
  <si>
    <t>Stage IA (T1c, N0, M0)</t>
  </si>
  <si>
    <t>not treatment-naïve</t>
  </si>
  <si>
    <t>already on treatment</t>
  </si>
  <si>
    <t>chemo-naïve</t>
  </si>
  <si>
    <t>Tissue sequenced</t>
  </si>
  <si>
    <t>Metastasis</t>
  </si>
  <si>
    <t>Surgery</t>
  </si>
  <si>
    <t>Diagnosis (pre neoadj)</t>
  </si>
  <si>
    <t>neoadjuvant treatment</t>
  </si>
  <si>
    <t>Pre-treatment: primary</t>
  </si>
  <si>
    <t>Pre-treatment: recurrence</t>
  </si>
  <si>
    <t>Pre-treatment: metastasis</t>
  </si>
  <si>
    <t>one off</t>
  </si>
  <si>
    <t>Pre-treatment: progression</t>
  </si>
  <si>
    <t>PBCP_001</t>
  </si>
  <si>
    <t>PBCP_019</t>
  </si>
  <si>
    <t>PBCP_046</t>
  </si>
  <si>
    <t>PBCP_051</t>
  </si>
  <si>
    <t>PBCP_055</t>
  </si>
  <si>
    <t>PBCP_070</t>
  </si>
  <si>
    <t>PBCP_135</t>
  </si>
  <si>
    <t>Days from baseline</t>
  </si>
  <si>
    <t>Originally 2018 (changed to 2017 as in Clinical Data)</t>
  </si>
  <si>
    <t>Not collected</t>
  </si>
  <si>
    <t>PBCP_ID</t>
  </si>
  <si>
    <t>Alternative ID</t>
  </si>
  <si>
    <t>Date of collection</t>
  </si>
  <si>
    <t>Timepoint</t>
  </si>
  <si>
    <t>Info collection</t>
  </si>
  <si>
    <t>Comments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</si>
  <si>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</si>
  <si>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</si>
  <si>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</si>
  <si>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</si>
  <si>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</si>
  <si>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</si>
  <si>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</si>
  <si>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</si>
  <si>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</si>
  <si>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</si>
  <si>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T12</t>
  </si>
  <si>
    <t>T13</t>
  </si>
  <si>
    <t>T14</t>
  </si>
  <si>
    <t>T15</t>
  </si>
  <si>
    <t>Edited year: originally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</si>
</sst>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 style="thin">
        <color indexed="64"/>
      </bottom>
      <diagonal/>
    </border>
    <border>
      <left style="double">
        <color rgb="FFC00000"/>
      </left>
      <right style="double">
        <color rgb="FFC00000"/>
      </right>
      <top style="thin">
        <color indexed="64"/>
      </top>
      <bottom style="thin">
        <color indexed="64"/>
      </bottom>
      <diagonal/>
    </border>
    <border>
      <left style="double">
        <color rgb="FFC00000"/>
      </left>
      <right style="double">
        <color rgb="FFC00000"/>
      </right>
      <top style="medium">
        <color indexed="64"/>
      </top>
      <bottom style="thin">
        <color indexed="64"/>
      </bottom>
      <diagonal/>
    </border>
    <border>
      <left style="double">
        <color rgb="FFC00000"/>
      </left>
      <right style="double">
        <color rgb="FFC00000"/>
      </right>
      <top style="thin">
        <color indexed="64"/>
      </top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 style="thin">
        <color indexed="64"/>
      </top>
      <bottom style="medium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medium">
        <color indexed="64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thin">
        <color indexed="64"/>
      </top>
      <bottom style="double">
        <color theme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theme="1"/>
      </left>
      <right/>
      <top style="double">
        <color theme="1"/>
      </top>
      <bottom style="thin">
        <color indexed="64"/>
      </bottom>
      <diagonal/>
    </border>
    <border>
      <left style="double">
        <color theme="1"/>
      </left>
      <right/>
      <top style="thin">
        <color indexed="64"/>
      </top>
      <bottom style="thin">
        <color indexed="64"/>
      </bottom>
      <diagonal/>
    </border>
    <border>
      <left style="double">
        <color theme="1"/>
      </left>
      <right/>
      <top style="medium">
        <color indexed="64"/>
      </top>
      <bottom style="thin">
        <color indexed="64"/>
      </bottom>
      <diagonal/>
    </border>
    <border>
      <left style="double">
        <color theme="1"/>
      </left>
      <right/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double">
        <color theme="1"/>
      </right>
      <top style="medium">
        <color indexed="64"/>
      </top>
      <bottom style="thin">
        <color indexed="64"/>
      </bottom>
      <diagonal/>
    </border>
    <border>
      <left/>
      <right style="double">
        <color theme="1"/>
      </right>
      <top style="thin">
        <color indexed="64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thin">
        <color indexed="64"/>
      </top>
      <bottom/>
      <diagonal/>
    </border>
    <border>
      <left/>
      <right style="double">
        <color theme="1"/>
      </right>
      <top style="double">
        <color theme="1"/>
      </top>
      <bottom style="thin">
        <color indexed="64"/>
      </bottom>
      <diagonal/>
    </border>
    <border>
      <left style="double">
        <color theme="1"/>
      </left>
      <right style="double">
        <color theme="1"/>
      </right>
      <top style="medium">
        <color theme="1"/>
      </top>
      <bottom style="double">
        <color theme="1"/>
      </bottom>
      <diagonal/>
    </border>
    <border>
      <left style="double">
        <color theme="1"/>
      </left>
      <right style="double">
        <color theme="1"/>
      </right>
      <top/>
      <bottom style="thin">
        <color indexed="64"/>
      </bottom>
      <diagonal/>
    </border>
    <border>
      <left style="medium">
        <color theme="1"/>
      </left>
      <right style="double">
        <color theme="1"/>
      </right>
      <top/>
      <bottom style="medium">
        <color theme="1"/>
      </bottom>
      <diagonal/>
    </border>
    <border>
      <left style="double">
        <color theme="1"/>
      </left>
      <right style="medium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141">
    <xf numFmtId="0" fontId="0" fillId="0" borderId="0" xfId="0"/>
    <xf numFmtId="0" fontId="2" fillId="0" borderId="0" xfId="0" applyFont="1" applyAlignment="1">
      <alignment horizontal="center"/>
    </xf>
    <xf numFmtId="14" fontId="3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3" fillId="0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2" fillId="6" borderId="8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vertical="center"/>
    </xf>
    <xf numFmtId="0" fontId="0" fillId="4" borderId="1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" fillId="4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/>
    </xf>
    <xf numFmtId="0" fontId="0" fillId="3" borderId="14" xfId="0" applyFill="1" applyBorder="1" applyAlignment="1">
      <alignment horizont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2" fillId="6" borderId="22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2" fillId="0" borderId="24" xfId="0" applyFont="1" applyBorder="1"/>
    <xf numFmtId="0" fontId="0" fillId="0" borderId="24" xfId="0" applyBorder="1" applyAlignment="1">
      <alignment horizontal="center"/>
    </xf>
    <xf numFmtId="0" fontId="0" fillId="3" borderId="26" xfId="0" applyFill="1" applyBorder="1" applyAlignment="1">
      <alignment horizontal="center"/>
    </xf>
    <xf numFmtId="14" fontId="0" fillId="3" borderId="27" xfId="0" applyNumberForma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14" fontId="0" fillId="4" borderId="27" xfId="0" applyNumberForma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14" fontId="0" fillId="3" borderId="27" xfId="0" applyNumberFormat="1" applyFont="1" applyFill="1" applyBorder="1" applyAlignment="1">
      <alignment horizontal="center"/>
    </xf>
    <xf numFmtId="14" fontId="0" fillId="4" borderId="29" xfId="0" applyNumberFormat="1" applyFill="1" applyBorder="1" applyAlignment="1">
      <alignment horizontal="center"/>
    </xf>
    <xf numFmtId="14" fontId="0" fillId="3" borderId="30" xfId="0" applyNumberFormat="1" applyFill="1" applyBorder="1" applyAlignment="1">
      <alignment horizontal="center"/>
    </xf>
    <xf numFmtId="14" fontId="0" fillId="4" borderId="29" xfId="0" applyNumberFormat="1" applyFill="1" applyBorder="1" applyAlignment="1">
      <alignment horizontal="center" wrapText="1"/>
    </xf>
    <xf numFmtId="0" fontId="0" fillId="0" borderId="25" xfId="0" applyBorder="1"/>
    <xf numFmtId="0" fontId="0" fillId="4" borderId="33" xfId="0" applyFill="1" applyBorder="1" applyAlignment="1">
      <alignment horizontal="center"/>
    </xf>
    <xf numFmtId="14" fontId="0" fillId="4" borderId="32" xfId="0" applyNumberForma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14" fontId="0" fillId="3" borderId="32" xfId="0" applyNumberFormat="1" applyFill="1" applyBorder="1" applyAlignment="1">
      <alignment horizontal="center"/>
    </xf>
    <xf numFmtId="14" fontId="0" fillId="4" borderId="34" xfId="0" applyNumberFormat="1" applyFill="1" applyBorder="1" applyAlignment="1">
      <alignment horizontal="center"/>
    </xf>
    <xf numFmtId="14" fontId="0" fillId="4" borderId="32" xfId="0" applyNumberFormat="1" applyFill="1" applyBorder="1" applyAlignment="1">
      <alignment horizontal="center" vertical="center"/>
    </xf>
    <xf numFmtId="14" fontId="0" fillId="3" borderId="34" xfId="0" applyNumberFormat="1" applyFill="1" applyBorder="1" applyAlignment="1">
      <alignment horizontal="center" vertical="center"/>
    </xf>
    <xf numFmtId="0" fontId="0" fillId="4" borderId="31" xfId="0" applyFill="1" applyBorder="1" applyAlignment="1">
      <alignment horizontal="center"/>
    </xf>
    <xf numFmtId="0" fontId="0" fillId="7" borderId="31" xfId="0" applyFill="1" applyBorder="1" applyAlignment="1">
      <alignment horizontal="center" wrapText="1"/>
    </xf>
    <xf numFmtId="14" fontId="0" fillId="7" borderId="32" xfId="0" applyNumberFormat="1" applyFill="1" applyBorder="1" applyAlignment="1">
      <alignment horizontal="center" wrapText="1"/>
    </xf>
    <xf numFmtId="14" fontId="0" fillId="3" borderId="34" xfId="0" applyNumberFormat="1" applyFill="1" applyBorder="1" applyAlignment="1">
      <alignment horizontal="center"/>
    </xf>
    <xf numFmtId="0" fontId="0" fillId="4" borderId="33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4" fontId="0" fillId="3" borderId="32" xfId="0" applyNumberForma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/>
    </xf>
    <xf numFmtId="14" fontId="0" fillId="4" borderId="34" xfId="0" applyNumberForma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14" fontId="0" fillId="3" borderId="37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16" xfId="0" applyFont="1" applyFill="1" applyBorder="1" applyAlignment="1">
      <alignment horizontal="center"/>
    </xf>
    <xf numFmtId="0" fontId="0" fillId="5" borderId="40" xfId="0" applyFill="1" applyBorder="1" applyAlignment="1">
      <alignment horizontal="center" vertical="center"/>
    </xf>
    <xf numFmtId="14" fontId="3" fillId="3" borderId="32" xfId="0" applyNumberFormat="1" applyFont="1" applyFill="1" applyBorder="1" applyAlignment="1">
      <alignment horizontal="center"/>
    </xf>
    <xf numFmtId="14" fontId="5" fillId="4" borderId="32" xfId="0" applyNumberFormat="1" applyFont="1" applyFill="1" applyBorder="1" applyAlignment="1">
      <alignment horizontal="center"/>
    </xf>
    <xf numFmtId="0" fontId="0" fillId="3" borderId="33" xfId="0" applyFont="1" applyFill="1" applyBorder="1" applyAlignment="1">
      <alignment horizontal="center"/>
    </xf>
    <xf numFmtId="14" fontId="5" fillId="3" borderId="34" xfId="0" applyNumberFormat="1" applyFont="1" applyFill="1" applyBorder="1" applyAlignment="1">
      <alignment horizontal="center"/>
    </xf>
    <xf numFmtId="14" fontId="0" fillId="4" borderId="37" xfId="0" applyNumberFormat="1" applyFill="1" applyBorder="1" applyAlignment="1">
      <alignment horizontal="center" vertical="center"/>
    </xf>
    <xf numFmtId="14" fontId="0" fillId="3" borderId="39" xfId="0" applyNumberForma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/>
    </xf>
    <xf numFmtId="14" fontId="5" fillId="3" borderId="32" xfId="0" applyNumberFormat="1" applyFont="1" applyFill="1" applyBorder="1" applyAlignment="1">
      <alignment horizontal="center"/>
    </xf>
    <xf numFmtId="0" fontId="0" fillId="3" borderId="21" xfId="0" applyFont="1" applyFill="1" applyBorder="1" applyAlignment="1">
      <alignment horizontal="left"/>
    </xf>
    <xf numFmtId="14" fontId="0" fillId="3" borderId="35" xfId="0" applyNumberFormat="1" applyFont="1" applyFill="1" applyBorder="1" applyAlignment="1">
      <alignment horizontal="center" wrapText="1"/>
    </xf>
    <xf numFmtId="0" fontId="6" fillId="3" borderId="31" xfId="0" applyFon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3" xfId="0" applyFill="1" applyBorder="1" applyAlignment="1">
      <alignment horizontal="center" vertical="center"/>
    </xf>
    <xf numFmtId="0" fontId="0" fillId="2" borderId="43" xfId="0" applyFill="1" applyBorder="1" applyAlignment="1">
      <alignment horizontal="left"/>
    </xf>
    <xf numFmtId="0" fontId="0" fillId="2" borderId="44" xfId="0" applyFill="1" applyBorder="1" applyAlignment="1">
      <alignment horizontal="center"/>
    </xf>
    <xf numFmtId="14" fontId="0" fillId="4" borderId="46" xfId="0" applyNumberForma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14" fontId="0" fillId="3" borderId="46" xfId="0" applyNumberFormat="1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3" borderId="38" xfId="0" applyFont="1" applyFill="1" applyBorder="1" applyAlignment="1">
      <alignment horizontal="center"/>
    </xf>
    <xf numFmtId="14" fontId="0" fillId="3" borderId="39" xfId="0" applyNumberFormat="1" applyFont="1" applyFill="1" applyBorder="1" applyAlignment="1">
      <alignment horizontal="center"/>
    </xf>
    <xf numFmtId="14" fontId="0" fillId="4" borderId="35" xfId="0" applyNumberFormat="1" applyFont="1" applyFill="1" applyBorder="1" applyAlignment="1">
      <alignment horizontal="center" vertical="center"/>
    </xf>
    <xf numFmtId="14" fontId="0" fillId="3" borderId="47" xfId="0" applyNumberForma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3" borderId="50" xfId="0" applyFont="1" applyFill="1" applyBorder="1" applyAlignment="1">
      <alignment horizontal="left"/>
    </xf>
    <xf numFmtId="0" fontId="0" fillId="3" borderId="48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14" fontId="6" fillId="4" borderId="37" xfId="0" applyNumberFormat="1" applyFont="1" applyFill="1" applyBorder="1" applyAlignment="1">
      <alignment horizontal="center"/>
    </xf>
    <xf numFmtId="14" fontId="0" fillId="3" borderId="46" xfId="0" applyNumberFormat="1" applyFill="1" applyBorder="1" applyAlignment="1">
      <alignment horizontal="center" vertical="center" wrapText="1"/>
    </xf>
    <xf numFmtId="14" fontId="0" fillId="4" borderId="2" xfId="0" applyNumberFormat="1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14" fontId="0" fillId="3" borderId="27" xfId="0" applyNumberFormat="1" applyFill="1" applyBorder="1" applyAlignment="1">
      <alignment horizontal="center" vertical="center"/>
    </xf>
    <xf numFmtId="14" fontId="0" fillId="4" borderId="37" xfId="0" applyNumberFormat="1" applyFont="1" applyFill="1" applyBorder="1" applyAlignment="1">
      <alignment horizontal="center"/>
    </xf>
    <xf numFmtId="14" fontId="6" fillId="3" borderId="3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0" fontId="2" fillId="0" borderId="24" xfId="0" applyFont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</cellXfs>
  <cellStyles count="22">
    <cellStyle name="Normal" xfId="0" builtinId="0"/>
    <cellStyle name="Normal 10" xfId="20" xr:uid="{00000000-0005-0000-0000-000001000000}"/>
    <cellStyle name="Normal 11" xfId="3" xr:uid="{00000000-0005-0000-0000-000002000000}"/>
    <cellStyle name="Normal 12" xfId="1" xr:uid="{00000000-0005-0000-0000-000003000000}"/>
    <cellStyle name="Normal 13" xfId="21" xr:uid="{00000000-0005-0000-0000-000004000000}"/>
    <cellStyle name="Normal 2" xfId="2" xr:uid="{00000000-0005-0000-0000-000005000000}"/>
    <cellStyle name="Normal 2 2" xfId="4" xr:uid="{00000000-0005-0000-0000-000006000000}"/>
    <cellStyle name="Normal 3" xfId="5" xr:uid="{00000000-0005-0000-0000-000007000000}"/>
    <cellStyle name="Normal 3 2" xfId="8" xr:uid="{00000000-0005-0000-0000-000008000000}"/>
    <cellStyle name="Normal 4" xfId="6" xr:uid="{00000000-0005-0000-0000-000009000000}"/>
    <cellStyle name="Normal 4 2" xfId="12" xr:uid="{00000000-0005-0000-0000-00000A000000}"/>
    <cellStyle name="Normal 4 3" xfId="14" xr:uid="{00000000-0005-0000-0000-00000B000000}"/>
    <cellStyle name="Normal 5" xfId="7" xr:uid="{00000000-0005-0000-0000-00000C000000}"/>
    <cellStyle name="Normal 5 2" xfId="10" xr:uid="{00000000-0005-0000-0000-00000D000000}"/>
    <cellStyle name="Normal 5 2 2" xfId="17" xr:uid="{00000000-0005-0000-0000-00000E000000}"/>
    <cellStyle name="Normal 5 3" xfId="15" xr:uid="{00000000-0005-0000-0000-00000F000000}"/>
    <cellStyle name="Normal 6" xfId="9" xr:uid="{00000000-0005-0000-0000-000010000000}"/>
    <cellStyle name="Normal 6 2" xfId="16" xr:uid="{00000000-0005-0000-0000-000011000000}"/>
    <cellStyle name="Normal 7" xfId="11" xr:uid="{00000000-0005-0000-0000-000012000000}"/>
    <cellStyle name="Normal 7 2" xfId="19" xr:uid="{00000000-0005-0000-0000-000013000000}"/>
    <cellStyle name="Normal 8" xfId="13" xr:uid="{00000000-0005-0000-0000-000014000000}"/>
    <cellStyle name="Normal 9" xfId="18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zoomScale="130" zoomScaleNormal="130" workbookViewId="0">
      <selection activeCell="A17" sqref="A17:XFD20"/>
    </sheetView>
  </sheetViews>
  <sheetFormatPr baseColWidth="10" defaultColWidth="8.83203125" defaultRowHeight="15" x14ac:dyDescent="0.2"/>
  <cols>
    <col min="1" max="1" width="14.33203125" bestFit="1" customWidth="1"/>
    <col min="2" max="2" width="19.1640625" style="3" customWidth="1"/>
    <col min="3" max="4" width="19.1640625" style="3" bestFit="1" customWidth="1"/>
    <col min="5" max="5" width="19.83203125" style="3" bestFit="1" customWidth="1"/>
    <col min="6" max="6" width="20" style="3" customWidth="1"/>
    <col min="7" max="7" width="23.5" style="3" bestFit="1" customWidth="1"/>
    <col min="8" max="8" width="16.33203125" style="3" bestFit="1" customWidth="1"/>
    <col min="9" max="9" width="16" bestFit="1" customWidth="1"/>
    <col min="10" max="14" width="10.1640625" bestFit="1" customWidth="1"/>
    <col min="15" max="15" width="16" bestFit="1" customWidth="1"/>
    <col min="16" max="19" width="10.1640625" bestFit="1" customWidth="1"/>
  </cols>
  <sheetData>
    <row r="1" spans="1:18" ht="16" thickBot="1" x14ac:dyDescent="0.25">
      <c r="A1" s="6" t="s">
        <v>0</v>
      </c>
      <c r="B1" s="7" t="s">
        <v>112</v>
      </c>
      <c r="C1" s="8" t="s">
        <v>115</v>
      </c>
      <c r="D1" s="7" t="s">
        <v>110</v>
      </c>
      <c r="E1" s="7" t="s">
        <v>116</v>
      </c>
      <c r="F1" s="7" t="s">
        <v>111</v>
      </c>
      <c r="G1" s="53" t="s">
        <v>113</v>
      </c>
      <c r="H1" s="53" t="s">
        <v>114</v>
      </c>
    </row>
    <row r="2" spans="1:18" ht="17" thickBot="1" x14ac:dyDescent="0.25">
      <c r="A2" s="9" t="s">
        <v>3</v>
      </c>
      <c r="B2" s="56" t="s">
        <v>86</v>
      </c>
      <c r="C2" s="58" t="s">
        <v>87</v>
      </c>
      <c r="D2" s="56" t="s">
        <v>85</v>
      </c>
      <c r="E2" s="56" t="s">
        <v>88</v>
      </c>
      <c r="F2" s="57" t="s">
        <v>84</v>
      </c>
      <c r="G2" s="93" t="s">
        <v>89</v>
      </c>
      <c r="H2" s="93" t="s">
        <v>90</v>
      </c>
    </row>
    <row r="3" spans="1:18" ht="17" thickTop="1" thickBot="1" x14ac:dyDescent="0.25">
      <c r="A3" s="42" t="s">
        <v>4</v>
      </c>
      <c r="B3" s="83" t="s">
        <v>59</v>
      </c>
      <c r="C3" s="87" t="s">
        <v>59</v>
      </c>
      <c r="D3" s="61" t="s">
        <v>36</v>
      </c>
      <c r="E3" s="61" t="s">
        <v>36</v>
      </c>
      <c r="F3" s="61" t="s">
        <v>105</v>
      </c>
      <c r="G3" s="122" t="s">
        <v>7</v>
      </c>
      <c r="H3" s="104" t="s">
        <v>108</v>
      </c>
    </row>
    <row r="4" spans="1:18" ht="17" thickTop="1" thickBot="1" x14ac:dyDescent="0.25">
      <c r="A4" s="44" t="s">
        <v>92</v>
      </c>
      <c r="B4" s="84">
        <v>42787</v>
      </c>
      <c r="C4" s="132">
        <v>42836</v>
      </c>
      <c r="D4" s="62">
        <v>42642</v>
      </c>
      <c r="E4" s="68">
        <v>42922</v>
      </c>
      <c r="F4" s="130">
        <v>41977</v>
      </c>
      <c r="G4" s="127">
        <v>42642</v>
      </c>
      <c r="H4" s="94">
        <v>42516</v>
      </c>
      <c r="J4" s="70"/>
      <c r="K4" t="s">
        <v>104</v>
      </c>
    </row>
    <row r="5" spans="1:18" x14ac:dyDescent="0.2">
      <c r="A5" s="12" t="s">
        <v>12</v>
      </c>
      <c r="B5" s="85" t="s">
        <v>60</v>
      </c>
      <c r="C5" s="88" t="s">
        <v>60</v>
      </c>
      <c r="D5" s="63" t="s">
        <v>64</v>
      </c>
      <c r="E5" s="63" t="s">
        <v>64</v>
      </c>
      <c r="F5" s="63" t="s">
        <v>38</v>
      </c>
      <c r="G5" s="115" t="s">
        <v>7</v>
      </c>
      <c r="H5" s="71" t="s">
        <v>109</v>
      </c>
    </row>
    <row r="6" spans="1:18" ht="16" thickBot="1" x14ac:dyDescent="0.25">
      <c r="A6" s="13" t="s">
        <v>92</v>
      </c>
      <c r="B6" s="72">
        <v>42787</v>
      </c>
      <c r="C6" s="126">
        <v>42836</v>
      </c>
      <c r="D6" s="64">
        <v>42663</v>
      </c>
      <c r="E6" s="64">
        <v>42943</v>
      </c>
      <c r="F6" s="64">
        <v>41997</v>
      </c>
      <c r="G6" s="112">
        <v>42712</v>
      </c>
      <c r="H6" s="95">
        <v>42684</v>
      </c>
      <c r="J6" s="2"/>
      <c r="K6" s="2"/>
      <c r="L6" s="2"/>
      <c r="M6" s="2"/>
      <c r="N6" s="2"/>
      <c r="O6" s="4"/>
      <c r="P6" s="2"/>
      <c r="Q6" s="2"/>
      <c r="R6" s="2"/>
    </row>
    <row r="7" spans="1:18" x14ac:dyDescent="0.2">
      <c r="A7" s="42" t="s">
        <v>15</v>
      </c>
      <c r="B7" s="73" t="s">
        <v>61</v>
      </c>
      <c r="C7" s="135" t="s">
        <v>119</v>
      </c>
      <c r="D7" s="65" t="s">
        <v>49</v>
      </c>
      <c r="E7" s="65" t="s">
        <v>49</v>
      </c>
      <c r="F7" s="65" t="s">
        <v>49</v>
      </c>
      <c r="G7" s="113" t="s">
        <v>7</v>
      </c>
      <c r="H7" s="96" t="s">
        <v>7</v>
      </c>
    </row>
    <row r="8" spans="1:18" ht="16" thickBot="1" x14ac:dyDescent="0.25">
      <c r="A8" s="44" t="s">
        <v>92</v>
      </c>
      <c r="B8" s="74">
        <v>42800</v>
      </c>
      <c r="C8" s="135"/>
      <c r="D8" s="66">
        <v>42726</v>
      </c>
      <c r="E8" s="68">
        <v>43006</v>
      </c>
      <c r="F8" s="62">
        <v>42040</v>
      </c>
      <c r="G8" s="114">
        <v>42761</v>
      </c>
      <c r="H8" s="97">
        <v>42712</v>
      </c>
    </row>
    <row r="9" spans="1:18" ht="16" thickTop="1" x14ac:dyDescent="0.2">
      <c r="A9" s="12" t="s">
        <v>17</v>
      </c>
      <c r="B9" s="71" t="s">
        <v>62</v>
      </c>
      <c r="C9" s="89" t="s">
        <v>78</v>
      </c>
      <c r="D9" s="63" t="s">
        <v>50</v>
      </c>
      <c r="E9" s="63" t="s">
        <v>50</v>
      </c>
      <c r="F9" s="63" t="s">
        <v>50</v>
      </c>
      <c r="G9" s="22" t="s">
        <v>36</v>
      </c>
      <c r="H9" s="100" t="s">
        <v>36</v>
      </c>
    </row>
    <row r="10" spans="1:18" ht="16" thickBot="1" x14ac:dyDescent="0.25">
      <c r="A10" s="13" t="s">
        <v>92</v>
      </c>
      <c r="B10" s="72">
        <v>42873</v>
      </c>
      <c r="C10" s="90">
        <v>42885</v>
      </c>
      <c r="D10" s="67">
        <v>42789</v>
      </c>
      <c r="E10" s="69">
        <v>43048</v>
      </c>
      <c r="F10" s="67">
        <v>42123</v>
      </c>
      <c r="G10" s="128">
        <v>42796</v>
      </c>
      <c r="H10" s="95">
        <v>42747</v>
      </c>
    </row>
    <row r="11" spans="1:18" ht="16" thickTop="1" x14ac:dyDescent="0.2">
      <c r="A11" s="42" t="s">
        <v>21</v>
      </c>
      <c r="B11" s="73" t="s">
        <v>63</v>
      </c>
      <c r="C11" s="91" t="s">
        <v>79</v>
      </c>
      <c r="D11" s="121" t="s">
        <v>77</v>
      </c>
      <c r="E11" s="102" t="s">
        <v>77</v>
      </c>
      <c r="F11" s="129" t="s">
        <v>106</v>
      </c>
      <c r="G11" s="89" t="s">
        <v>38</v>
      </c>
      <c r="H11" s="96" t="s">
        <v>38</v>
      </c>
    </row>
    <row r="12" spans="1:18" ht="16" thickBot="1" x14ac:dyDescent="0.25">
      <c r="A12" s="44" t="s">
        <v>92</v>
      </c>
      <c r="B12" s="74">
        <v>43020</v>
      </c>
      <c r="C12" s="131">
        <v>43012</v>
      </c>
      <c r="D12" s="74">
        <v>42801</v>
      </c>
      <c r="E12" s="103">
        <v>43069</v>
      </c>
      <c r="F12" s="74">
        <v>42202</v>
      </c>
      <c r="G12" s="90">
        <v>42824</v>
      </c>
      <c r="H12" s="101">
        <v>42775</v>
      </c>
    </row>
    <row r="13" spans="1:18" x14ac:dyDescent="0.2">
      <c r="A13" s="12" t="s">
        <v>25</v>
      </c>
      <c r="B13" s="71" t="s">
        <v>82</v>
      </c>
      <c r="C13" s="116" t="s">
        <v>83</v>
      </c>
      <c r="D13" s="82" t="s">
        <v>61</v>
      </c>
      <c r="E13" s="92" t="s">
        <v>61</v>
      </c>
      <c r="F13" s="71" t="s">
        <v>38</v>
      </c>
      <c r="G13" s="91" t="s">
        <v>56</v>
      </c>
      <c r="H13" s="82" t="s">
        <v>39</v>
      </c>
    </row>
    <row r="14" spans="1:18" ht="16" thickBot="1" x14ac:dyDescent="0.25">
      <c r="A14" s="13" t="s">
        <v>92</v>
      </c>
      <c r="B14" s="86">
        <v>43144</v>
      </c>
      <c r="C14" s="117">
        <v>43164</v>
      </c>
      <c r="D14" s="72">
        <v>42821</v>
      </c>
      <c r="E14" s="118">
        <v>43080</v>
      </c>
      <c r="F14" s="76">
        <v>42222</v>
      </c>
      <c r="G14" s="98">
        <v>42845</v>
      </c>
      <c r="H14" s="95">
        <v>42808</v>
      </c>
    </row>
    <row r="15" spans="1:18" ht="16" thickTop="1" x14ac:dyDescent="0.2">
      <c r="A15" s="42" t="s">
        <v>28</v>
      </c>
      <c r="B15" s="108"/>
      <c r="C15" s="5" t="s">
        <v>75</v>
      </c>
      <c r="D15" s="73" t="s">
        <v>65</v>
      </c>
      <c r="E15" s="54"/>
      <c r="F15" s="73" t="s">
        <v>49</v>
      </c>
      <c r="G15" s="89" t="s">
        <v>80</v>
      </c>
      <c r="H15" s="96" t="s">
        <v>7</v>
      </c>
    </row>
    <row r="16" spans="1:18" ht="16" thickBot="1" x14ac:dyDescent="0.25">
      <c r="A16" s="44" t="s">
        <v>92</v>
      </c>
      <c r="B16" s="108"/>
      <c r="C16" s="109"/>
      <c r="D16" s="119">
        <v>42950</v>
      </c>
      <c r="E16" s="54"/>
      <c r="F16" s="77">
        <v>42243</v>
      </c>
      <c r="G16" s="99">
        <v>42901</v>
      </c>
      <c r="H16" s="101">
        <v>42880</v>
      </c>
      <c r="J16" s="1"/>
    </row>
    <row r="17" spans="1:8" ht="17" thickTop="1" thickBot="1" x14ac:dyDescent="0.25">
      <c r="A17" s="12" t="s">
        <v>32</v>
      </c>
      <c r="B17" s="109"/>
      <c r="C17" s="109"/>
      <c r="D17" s="120" t="s">
        <v>75</v>
      </c>
      <c r="E17" s="54"/>
      <c r="F17" s="78" t="s">
        <v>107</v>
      </c>
      <c r="G17" s="47" t="s">
        <v>81</v>
      </c>
      <c r="H17" s="82" t="s">
        <v>7</v>
      </c>
    </row>
    <row r="18" spans="1:8" ht="17" thickTop="1" thickBot="1" x14ac:dyDescent="0.25">
      <c r="A18" s="13" t="s">
        <v>92</v>
      </c>
      <c r="B18" s="109"/>
      <c r="C18" s="106"/>
      <c r="D18" s="105"/>
      <c r="E18" s="54"/>
      <c r="F18" s="76">
        <v>42633</v>
      </c>
      <c r="G18" s="55"/>
      <c r="H18" s="95">
        <v>42936</v>
      </c>
    </row>
    <row r="19" spans="1:8" x14ac:dyDescent="0.2">
      <c r="A19" s="42" t="s">
        <v>35</v>
      </c>
      <c r="B19" s="109"/>
      <c r="C19" s="105"/>
      <c r="D19" s="105"/>
      <c r="E19" s="54"/>
      <c r="F19" s="73" t="s">
        <v>38</v>
      </c>
      <c r="G19" s="55"/>
      <c r="H19" s="96" t="s">
        <v>7</v>
      </c>
    </row>
    <row r="20" spans="1:8" ht="16" thickBot="1" x14ac:dyDescent="0.25">
      <c r="A20" s="44" t="s">
        <v>92</v>
      </c>
      <c r="B20" s="109"/>
      <c r="C20" s="105"/>
      <c r="D20" s="105"/>
      <c r="E20" s="54"/>
      <c r="F20" s="74">
        <v>42661</v>
      </c>
      <c r="G20" s="55"/>
      <c r="H20" s="97">
        <v>43111</v>
      </c>
    </row>
    <row r="21" spans="1:8" ht="16" thickTop="1" x14ac:dyDescent="0.2">
      <c r="A21" s="12" t="s">
        <v>51</v>
      </c>
      <c r="B21" s="108"/>
      <c r="C21" s="105"/>
      <c r="D21" s="105"/>
      <c r="E21" s="54"/>
      <c r="F21" s="71" t="s">
        <v>56</v>
      </c>
      <c r="G21" s="40"/>
      <c r="H21" s="5"/>
    </row>
    <row r="22" spans="1:8" ht="16" thickBot="1" x14ac:dyDescent="0.25">
      <c r="A22" s="13" t="s">
        <v>92</v>
      </c>
      <c r="B22" s="108"/>
      <c r="C22" s="105"/>
      <c r="D22" s="105"/>
      <c r="E22" s="54"/>
      <c r="F22" s="75">
        <v>42689</v>
      </c>
      <c r="G22" s="40"/>
      <c r="H22" s="5"/>
    </row>
    <row r="23" spans="1:8" ht="17" thickTop="1" x14ac:dyDescent="0.2">
      <c r="A23" s="42" t="s">
        <v>52</v>
      </c>
      <c r="B23" s="110" t="s">
        <v>91</v>
      </c>
      <c r="C23" s="105"/>
      <c r="D23" s="105"/>
      <c r="E23" s="54"/>
      <c r="F23" s="79" t="s">
        <v>36</v>
      </c>
      <c r="G23" s="40"/>
      <c r="H23" s="5"/>
    </row>
    <row r="24" spans="1:8" ht="16" thickBot="1" x14ac:dyDescent="0.25">
      <c r="A24" s="44" t="s">
        <v>92</v>
      </c>
      <c r="B24" s="108"/>
      <c r="C24" s="105"/>
      <c r="D24" s="105"/>
      <c r="E24" s="54"/>
      <c r="F24" s="80">
        <v>42698</v>
      </c>
      <c r="G24" s="40"/>
      <c r="H24" s="5"/>
    </row>
    <row r="25" spans="1:8" x14ac:dyDescent="0.2">
      <c r="A25" s="12" t="s">
        <v>53</v>
      </c>
      <c r="B25" s="108"/>
      <c r="C25" s="105"/>
      <c r="D25" s="105"/>
      <c r="E25" s="54"/>
      <c r="F25" s="71" t="s">
        <v>38</v>
      </c>
      <c r="G25" s="40"/>
      <c r="H25" s="5"/>
    </row>
    <row r="26" spans="1:8" ht="16" thickBot="1" x14ac:dyDescent="0.25">
      <c r="A26" s="13" t="s">
        <v>92</v>
      </c>
      <c r="B26" s="108"/>
      <c r="C26" s="105"/>
      <c r="D26" s="105"/>
      <c r="E26" s="54"/>
      <c r="F26" s="72">
        <v>42719</v>
      </c>
      <c r="G26" s="40"/>
      <c r="H26" s="5"/>
    </row>
    <row r="27" spans="1:8" x14ac:dyDescent="0.2">
      <c r="A27" s="42" t="s">
        <v>54</v>
      </c>
      <c r="B27" s="108"/>
      <c r="C27" s="105"/>
      <c r="D27" s="105"/>
      <c r="E27" s="54"/>
      <c r="F27" s="73" t="s">
        <v>56</v>
      </c>
      <c r="G27" s="40"/>
      <c r="H27" s="5"/>
    </row>
    <row r="28" spans="1:8" ht="16" thickBot="1" x14ac:dyDescent="0.25">
      <c r="A28" s="44" t="s">
        <v>92</v>
      </c>
      <c r="B28" s="108"/>
      <c r="C28" s="105"/>
      <c r="D28" s="105"/>
      <c r="E28" s="54"/>
      <c r="F28" s="74">
        <v>42740</v>
      </c>
      <c r="G28" s="40"/>
      <c r="H28" s="5"/>
    </row>
    <row r="29" spans="1:8" x14ac:dyDescent="0.2">
      <c r="A29" s="12" t="s">
        <v>55</v>
      </c>
      <c r="B29" s="108"/>
      <c r="C29" s="105"/>
      <c r="D29" s="105"/>
      <c r="E29" s="54"/>
      <c r="F29" s="71" t="s">
        <v>57</v>
      </c>
      <c r="G29" s="40"/>
      <c r="H29" s="5"/>
    </row>
    <row r="30" spans="1:8" ht="16" thickBot="1" x14ac:dyDescent="0.25">
      <c r="A30" s="13" t="s">
        <v>92</v>
      </c>
      <c r="B30" s="108"/>
      <c r="C30" s="105"/>
      <c r="D30" s="105"/>
      <c r="E30" s="54"/>
      <c r="F30" s="72">
        <v>42775</v>
      </c>
      <c r="G30" s="40"/>
      <c r="H30" s="5"/>
    </row>
    <row r="31" spans="1:8" x14ac:dyDescent="0.2">
      <c r="A31" s="42" t="s">
        <v>58</v>
      </c>
      <c r="B31" s="108"/>
      <c r="C31" s="105"/>
      <c r="D31" s="105"/>
      <c r="E31" s="54"/>
      <c r="F31" s="73" t="s">
        <v>7</v>
      </c>
      <c r="G31" s="40"/>
      <c r="H31" s="5"/>
    </row>
    <row r="32" spans="1:8" ht="16" thickBot="1" x14ac:dyDescent="0.25">
      <c r="A32" s="45" t="s">
        <v>92</v>
      </c>
      <c r="B32" s="111"/>
      <c r="C32" s="107"/>
      <c r="D32" s="107"/>
      <c r="E32" s="123"/>
      <c r="F32" s="81">
        <v>42873</v>
      </c>
      <c r="G32" s="124"/>
      <c r="H32" s="125"/>
    </row>
    <row r="33" spans="1:8" x14ac:dyDescent="0.2">
      <c r="F33" s="3" t="s">
        <v>81</v>
      </c>
    </row>
    <row r="34" spans="1:8" x14ac:dyDescent="0.2">
      <c r="A34" s="59" t="s">
        <v>100</v>
      </c>
      <c r="B34" s="60" t="s">
        <v>102</v>
      </c>
      <c r="C34" s="60" t="s">
        <v>102</v>
      </c>
      <c r="D34" s="60" t="s">
        <v>103</v>
      </c>
      <c r="E34" s="60" t="s">
        <v>103</v>
      </c>
      <c r="F34" s="60" t="s">
        <v>101</v>
      </c>
      <c r="G34" s="60" t="s">
        <v>101</v>
      </c>
      <c r="H34" s="60" t="s">
        <v>101</v>
      </c>
    </row>
    <row r="35" spans="1:8" x14ac:dyDescent="0.2">
      <c r="A35" s="59" t="s">
        <v>93</v>
      </c>
      <c r="B35" s="60" t="s">
        <v>96</v>
      </c>
      <c r="C35" s="60" t="s">
        <v>96</v>
      </c>
      <c r="D35" s="60" t="s">
        <v>94</v>
      </c>
      <c r="E35" s="60" t="s">
        <v>94</v>
      </c>
      <c r="F35" s="60" t="s">
        <v>95</v>
      </c>
      <c r="G35" s="60" t="s">
        <v>95</v>
      </c>
      <c r="H35" s="60" t="s">
        <v>95</v>
      </c>
    </row>
    <row r="37" spans="1:8" x14ac:dyDescent="0.2">
      <c r="A37" s="133" t="s">
        <v>118</v>
      </c>
      <c r="F37" s="3" t="s">
        <v>99</v>
      </c>
      <c r="G37" s="3" t="s">
        <v>98</v>
      </c>
      <c r="H37" s="3" t="s">
        <v>97</v>
      </c>
    </row>
    <row r="40" spans="1:8" x14ac:dyDescent="0.2">
      <c r="A40" t="s">
        <v>117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</row>
    <row r="41" spans="1:8" x14ac:dyDescent="0.2">
      <c r="B41" s="3">
        <v>0.9</v>
      </c>
      <c r="C41" s="3">
        <v>0.9</v>
      </c>
      <c r="D41" s="3">
        <f>D6-D$4</f>
        <v>21</v>
      </c>
      <c r="E41" s="3">
        <f>E6-E$4</f>
        <v>21</v>
      </c>
      <c r="F41" s="3">
        <f>F6-F$4</f>
        <v>20</v>
      </c>
      <c r="G41" s="3">
        <f>G6-G$4</f>
        <v>70</v>
      </c>
      <c r="H41" s="3">
        <f>H6-H$4</f>
        <v>168</v>
      </c>
    </row>
    <row r="42" spans="1:8" x14ac:dyDescent="0.2">
      <c r="B42" s="3">
        <f t="shared" ref="B42:H42" si="0">B8-B$4</f>
        <v>13</v>
      </c>
      <c r="C42" s="134">
        <f>C10-C$4</f>
        <v>49</v>
      </c>
      <c r="D42" s="3">
        <f t="shared" si="0"/>
        <v>84</v>
      </c>
      <c r="E42" s="3">
        <f t="shared" si="0"/>
        <v>84</v>
      </c>
      <c r="F42" s="3">
        <f>F8-F$4</f>
        <v>63</v>
      </c>
      <c r="G42" s="3">
        <f t="shared" si="0"/>
        <v>119</v>
      </c>
      <c r="H42" s="3">
        <f t="shared" si="0"/>
        <v>196</v>
      </c>
    </row>
    <row r="43" spans="1:8" x14ac:dyDescent="0.2">
      <c r="B43" s="3">
        <f t="shared" ref="B43:H43" si="1">B10-B$4</f>
        <v>86</v>
      </c>
      <c r="C43" s="134">
        <f>C12-C$4</f>
        <v>176</v>
      </c>
      <c r="D43" s="3">
        <f t="shared" si="1"/>
        <v>147</v>
      </c>
      <c r="E43" s="3">
        <f t="shared" si="1"/>
        <v>126</v>
      </c>
      <c r="F43" s="3">
        <f>F10-F$4</f>
        <v>146</v>
      </c>
      <c r="G43" s="3">
        <f t="shared" si="1"/>
        <v>154</v>
      </c>
      <c r="H43" s="3">
        <f t="shared" si="1"/>
        <v>231</v>
      </c>
    </row>
    <row r="44" spans="1:8" x14ac:dyDescent="0.2">
      <c r="B44" s="3">
        <f t="shared" ref="B44:H44" si="2">B12-B$4</f>
        <v>233</v>
      </c>
      <c r="C44" s="3">
        <f>C14-C$4</f>
        <v>328</v>
      </c>
      <c r="D44" s="3">
        <f t="shared" si="2"/>
        <v>159</v>
      </c>
      <c r="E44" s="3">
        <f t="shared" si="2"/>
        <v>147</v>
      </c>
      <c r="F44" s="3">
        <f>F12-F$4</f>
        <v>225</v>
      </c>
      <c r="G44" s="3">
        <f t="shared" si="2"/>
        <v>182</v>
      </c>
      <c r="H44" s="3">
        <f t="shared" si="2"/>
        <v>259</v>
      </c>
    </row>
    <row r="45" spans="1:8" x14ac:dyDescent="0.2">
      <c r="B45" s="3">
        <f>B14-B$4</f>
        <v>357</v>
      </c>
      <c r="D45" s="3">
        <f>D14-D$4</f>
        <v>179</v>
      </c>
      <c r="E45" s="3">
        <f>E14-E$4</f>
        <v>158</v>
      </c>
      <c r="F45" s="3">
        <f>F14-F$4</f>
        <v>245</v>
      </c>
      <c r="G45" s="3">
        <f>G14-G$4</f>
        <v>203</v>
      </c>
      <c r="H45" s="3">
        <f>H14-H$4</f>
        <v>292</v>
      </c>
    </row>
    <row r="46" spans="1:8" x14ac:dyDescent="0.2">
      <c r="D46" s="3">
        <f>D16-D$4</f>
        <v>308</v>
      </c>
      <c r="F46" s="3">
        <f>F16-F$4</f>
        <v>266</v>
      </c>
      <c r="G46" s="3">
        <f>G16-G$4</f>
        <v>259</v>
      </c>
      <c r="H46" s="3">
        <f>H16-H$4</f>
        <v>364</v>
      </c>
    </row>
    <row r="47" spans="1:8" x14ac:dyDescent="0.2">
      <c r="F47" s="3">
        <f>F18-F$4</f>
        <v>656</v>
      </c>
      <c r="H47" s="3">
        <f>H18-H$4</f>
        <v>420</v>
      </c>
    </row>
    <row r="48" spans="1:8" x14ac:dyDescent="0.2">
      <c r="F48" s="3">
        <f>F20-F$4</f>
        <v>684</v>
      </c>
      <c r="H48" s="3">
        <f>H20-H$4</f>
        <v>595</v>
      </c>
    </row>
    <row r="49" spans="6:6" x14ac:dyDescent="0.2">
      <c r="F49" s="3">
        <f>F22-F$4</f>
        <v>712</v>
      </c>
    </row>
    <row r="50" spans="6:6" x14ac:dyDescent="0.2">
      <c r="F50" s="3">
        <f>F26-F$4</f>
        <v>742</v>
      </c>
    </row>
    <row r="51" spans="6:6" x14ac:dyDescent="0.2">
      <c r="F51" s="3">
        <f>F28-F$4</f>
        <v>763</v>
      </c>
    </row>
    <row r="52" spans="6:6" x14ac:dyDescent="0.2">
      <c r="F52" s="3">
        <f>F30-F$4</f>
        <v>798</v>
      </c>
    </row>
    <row r="53" spans="6:6" x14ac:dyDescent="0.2">
      <c r="F53" s="3">
        <f>F32-F$4</f>
        <v>896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F1FB-6855-3047-93C0-6FCB2E64995F}">
  <dimension ref="A1:F55"/>
  <sheetViews>
    <sheetView workbookViewId="0">
      <selection activeCell="E9" sqref="E9"/>
    </sheetView>
  </sheetViews>
  <sheetFormatPr baseColWidth="10" defaultRowHeight="15" x14ac:dyDescent="0.2"/>
  <cols>
    <col min="2" max="2" width="17.83203125" bestFit="1" customWidth="1"/>
    <col min="4" max="4" width="14.5" style="136" bestFit="1" customWidth="1"/>
    <col min="5" max="5" width="21.83203125" bestFit="1" customWidth="1"/>
    <col min="6" max="6" width="22.1640625" bestFit="1" customWidth="1"/>
  </cols>
  <sheetData>
    <row r="1" spans="1:6" x14ac:dyDescent="0.2">
      <c r="A1" s="137" t="s">
        <v>120</v>
      </c>
      <c r="B1" s="137" t="s">
        <v>121</v>
      </c>
      <c r="C1" s="137" t="s">
        <v>123</v>
      </c>
      <c r="D1" s="138" t="s">
        <v>122</v>
      </c>
      <c r="E1" s="137" t="s">
        <v>124</v>
      </c>
      <c r="F1" s="137" t="s">
        <v>125</v>
      </c>
    </row>
    <row r="2" spans="1:6" x14ac:dyDescent="0.2">
      <c r="A2" s="139" t="s">
        <v>112</v>
      </c>
      <c r="B2" s="139" t="s">
        <v>86</v>
      </c>
      <c r="C2" s="139" t="s">
        <v>126</v>
      </c>
      <c r="D2" s="140">
        <v>42787</v>
      </c>
      <c r="E2" s="139" t="s">
        <v>59</v>
      </c>
      <c r="F2" s="139"/>
    </row>
    <row r="3" spans="1:6" x14ac:dyDescent="0.2">
      <c r="A3" s="139" t="s">
        <v>112</v>
      </c>
      <c r="B3" s="139" t="s">
        <v>86</v>
      </c>
      <c r="C3" s="139" t="s">
        <v>127</v>
      </c>
      <c r="D3" s="140">
        <v>42787</v>
      </c>
      <c r="E3" s="139" t="s">
        <v>60</v>
      </c>
      <c r="F3" s="139"/>
    </row>
    <row r="4" spans="1:6" x14ac:dyDescent="0.2">
      <c r="A4" s="139" t="s">
        <v>112</v>
      </c>
      <c r="B4" s="139" t="s">
        <v>86</v>
      </c>
      <c r="C4" s="139" t="s">
        <v>128</v>
      </c>
      <c r="D4" s="140">
        <v>42800</v>
      </c>
      <c r="E4" s="139" t="s">
        <v>61</v>
      </c>
      <c r="F4" s="139"/>
    </row>
    <row r="5" spans="1:6" x14ac:dyDescent="0.2">
      <c r="A5" s="139" t="s">
        <v>112</v>
      </c>
      <c r="B5" s="139" t="s">
        <v>86</v>
      </c>
      <c r="C5" s="139" t="s">
        <v>129</v>
      </c>
      <c r="D5" s="140">
        <v>42873</v>
      </c>
      <c r="E5" s="139" t="s">
        <v>62</v>
      </c>
      <c r="F5" s="139"/>
    </row>
    <row r="6" spans="1:6" x14ac:dyDescent="0.2">
      <c r="A6" s="139" t="s">
        <v>112</v>
      </c>
      <c r="B6" s="139" t="s">
        <v>86</v>
      </c>
      <c r="C6" s="139" t="s">
        <v>130</v>
      </c>
      <c r="D6" s="140">
        <v>43020</v>
      </c>
      <c r="E6" s="139" t="s">
        <v>63</v>
      </c>
      <c r="F6" s="139"/>
    </row>
    <row r="7" spans="1:6" x14ac:dyDescent="0.2">
      <c r="A7" s="139" t="s">
        <v>112</v>
      </c>
      <c r="B7" s="139" t="s">
        <v>86</v>
      </c>
      <c r="C7" s="139" t="s">
        <v>131</v>
      </c>
      <c r="D7" s="140">
        <v>43144</v>
      </c>
      <c r="E7" s="139" t="s">
        <v>82</v>
      </c>
      <c r="F7" s="139"/>
    </row>
    <row r="8" spans="1:6" x14ac:dyDescent="0.2">
      <c r="A8" s="139" t="s">
        <v>115</v>
      </c>
      <c r="B8" s="139" t="s">
        <v>87</v>
      </c>
      <c r="C8" s="139" t="s">
        <v>126</v>
      </c>
      <c r="D8" s="140">
        <v>42836</v>
      </c>
      <c r="E8" s="139" t="s">
        <v>59</v>
      </c>
      <c r="F8" s="139"/>
    </row>
    <row r="9" spans="1:6" x14ac:dyDescent="0.2">
      <c r="A9" s="139" t="s">
        <v>115</v>
      </c>
      <c r="B9" s="139" t="s">
        <v>87</v>
      </c>
      <c r="C9" s="139" t="s">
        <v>127</v>
      </c>
      <c r="D9" s="140">
        <v>42836</v>
      </c>
      <c r="E9" s="139" t="s">
        <v>60</v>
      </c>
      <c r="F9" s="139"/>
    </row>
    <row r="10" spans="1:6" x14ac:dyDescent="0.2">
      <c r="A10" s="139" t="s">
        <v>115</v>
      </c>
      <c r="B10" s="139" t="s">
        <v>87</v>
      </c>
      <c r="C10" s="139" t="s">
        <v>129</v>
      </c>
      <c r="D10" s="140">
        <v>42885</v>
      </c>
      <c r="E10" s="139" t="s">
        <v>78</v>
      </c>
      <c r="F10" s="139" t="s">
        <v>140</v>
      </c>
    </row>
    <row r="11" spans="1:6" x14ac:dyDescent="0.2">
      <c r="A11" s="139" t="s">
        <v>115</v>
      </c>
      <c r="B11" s="139" t="s">
        <v>87</v>
      </c>
      <c r="C11" s="139" t="s">
        <v>130</v>
      </c>
      <c r="D11" s="140">
        <v>43012</v>
      </c>
      <c r="E11" s="139" t="s">
        <v>79</v>
      </c>
      <c r="F11" s="139" t="s">
        <v>140</v>
      </c>
    </row>
    <row r="12" spans="1:6" x14ac:dyDescent="0.2">
      <c r="A12" s="139" t="s">
        <v>115</v>
      </c>
      <c r="B12" s="139" t="s">
        <v>87</v>
      </c>
      <c r="C12" s="139" t="s">
        <v>131</v>
      </c>
      <c r="D12" s="140">
        <v>43164</v>
      </c>
      <c r="E12" s="139" t="s">
        <v>83</v>
      </c>
      <c r="F12" s="139"/>
    </row>
    <row r="13" spans="1:6" x14ac:dyDescent="0.2">
      <c r="A13" s="139" t="s">
        <v>110</v>
      </c>
      <c r="B13" s="139" t="s">
        <v>85</v>
      </c>
      <c r="C13" s="139" t="s">
        <v>126</v>
      </c>
      <c r="D13" s="140">
        <v>42642</v>
      </c>
      <c r="E13" s="139" t="s">
        <v>36</v>
      </c>
      <c r="F13" s="139"/>
    </row>
    <row r="14" spans="1:6" x14ac:dyDescent="0.2">
      <c r="A14" s="139" t="s">
        <v>110</v>
      </c>
      <c r="B14" s="139" t="s">
        <v>85</v>
      </c>
      <c r="C14" s="139" t="s">
        <v>127</v>
      </c>
      <c r="D14" s="140">
        <v>42663</v>
      </c>
      <c r="E14" s="139" t="s">
        <v>64</v>
      </c>
      <c r="F14" s="139"/>
    </row>
    <row r="15" spans="1:6" x14ac:dyDescent="0.2">
      <c r="A15" s="139" t="s">
        <v>110</v>
      </c>
      <c r="B15" s="139" t="s">
        <v>85</v>
      </c>
      <c r="C15" s="139" t="s">
        <v>128</v>
      </c>
      <c r="D15" s="140">
        <v>42726</v>
      </c>
      <c r="E15" s="139" t="s">
        <v>49</v>
      </c>
      <c r="F15" s="139"/>
    </row>
    <row r="16" spans="1:6" x14ac:dyDescent="0.2">
      <c r="A16" s="139" t="s">
        <v>110</v>
      </c>
      <c r="B16" s="139" t="s">
        <v>85</v>
      </c>
      <c r="C16" s="139" t="s">
        <v>129</v>
      </c>
      <c r="D16" s="140">
        <v>42789</v>
      </c>
      <c r="E16" s="139" t="s">
        <v>50</v>
      </c>
      <c r="F16" s="139"/>
    </row>
    <row r="17" spans="1:6" x14ac:dyDescent="0.2">
      <c r="A17" s="139" t="s">
        <v>110</v>
      </c>
      <c r="B17" s="139" t="s">
        <v>85</v>
      </c>
      <c r="C17" s="139" t="s">
        <v>130</v>
      </c>
      <c r="D17" s="140">
        <v>42801</v>
      </c>
      <c r="E17" s="139" t="s">
        <v>77</v>
      </c>
      <c r="F17" s="139"/>
    </row>
    <row r="18" spans="1:6" x14ac:dyDescent="0.2">
      <c r="A18" s="139" t="s">
        <v>110</v>
      </c>
      <c r="B18" s="139" t="s">
        <v>85</v>
      </c>
      <c r="C18" s="139" t="s">
        <v>131</v>
      </c>
      <c r="D18" s="140">
        <v>42821</v>
      </c>
      <c r="E18" s="139" t="s">
        <v>61</v>
      </c>
      <c r="F18" s="139"/>
    </row>
    <row r="19" spans="1:6" x14ac:dyDescent="0.2">
      <c r="A19" s="139" t="s">
        <v>110</v>
      </c>
      <c r="B19" s="139" t="s">
        <v>85</v>
      </c>
      <c r="C19" s="139" t="s">
        <v>132</v>
      </c>
      <c r="D19" s="140">
        <v>42950</v>
      </c>
      <c r="E19" s="139" t="s">
        <v>65</v>
      </c>
      <c r="F19" s="139"/>
    </row>
    <row r="20" spans="1:6" x14ac:dyDescent="0.2">
      <c r="A20" s="139" t="s">
        <v>116</v>
      </c>
      <c r="B20" s="139" t="s">
        <v>88</v>
      </c>
      <c r="C20" s="139" t="s">
        <v>126</v>
      </c>
      <c r="D20" s="140">
        <v>42922</v>
      </c>
      <c r="E20" s="139" t="s">
        <v>36</v>
      </c>
      <c r="F20" s="139"/>
    </row>
    <row r="21" spans="1:6" x14ac:dyDescent="0.2">
      <c r="A21" s="139" t="s">
        <v>116</v>
      </c>
      <c r="B21" s="139" t="s">
        <v>88</v>
      </c>
      <c r="C21" s="139" t="s">
        <v>127</v>
      </c>
      <c r="D21" s="140">
        <v>42943</v>
      </c>
      <c r="E21" s="139" t="s">
        <v>64</v>
      </c>
      <c r="F21" s="139"/>
    </row>
    <row r="22" spans="1:6" x14ac:dyDescent="0.2">
      <c r="A22" s="139" t="s">
        <v>116</v>
      </c>
      <c r="B22" s="139" t="s">
        <v>88</v>
      </c>
      <c r="C22" s="139" t="s">
        <v>128</v>
      </c>
      <c r="D22" s="140">
        <v>43006</v>
      </c>
      <c r="E22" s="139" t="s">
        <v>49</v>
      </c>
      <c r="F22" s="139"/>
    </row>
    <row r="23" spans="1:6" x14ac:dyDescent="0.2">
      <c r="A23" s="139" t="s">
        <v>116</v>
      </c>
      <c r="B23" s="139" t="s">
        <v>88</v>
      </c>
      <c r="C23" s="139" t="s">
        <v>129</v>
      </c>
      <c r="D23" s="140">
        <v>43048</v>
      </c>
      <c r="E23" s="139" t="s">
        <v>50</v>
      </c>
      <c r="F23" s="139"/>
    </row>
    <row r="24" spans="1:6" x14ac:dyDescent="0.2">
      <c r="A24" s="139" t="s">
        <v>116</v>
      </c>
      <c r="B24" s="139" t="s">
        <v>88</v>
      </c>
      <c r="C24" s="139" t="s">
        <v>130</v>
      </c>
      <c r="D24" s="140">
        <v>43069</v>
      </c>
      <c r="E24" s="139" t="s">
        <v>77</v>
      </c>
      <c r="F24" s="139"/>
    </row>
    <row r="25" spans="1:6" x14ac:dyDescent="0.2">
      <c r="A25" s="139" t="s">
        <v>116</v>
      </c>
      <c r="B25" s="139" t="s">
        <v>88</v>
      </c>
      <c r="C25" s="139" t="s">
        <v>131</v>
      </c>
      <c r="D25" s="140">
        <v>43080</v>
      </c>
      <c r="E25" s="139" t="s">
        <v>61</v>
      </c>
      <c r="F25" s="139"/>
    </row>
    <row r="26" spans="1:6" x14ac:dyDescent="0.2">
      <c r="A26" s="139" t="s">
        <v>111</v>
      </c>
      <c r="B26" s="139" t="s">
        <v>84</v>
      </c>
      <c r="C26" s="139" t="s">
        <v>126</v>
      </c>
      <c r="D26" s="140">
        <v>41977</v>
      </c>
      <c r="E26" s="139" t="s">
        <v>105</v>
      </c>
      <c r="F26" s="139"/>
    </row>
    <row r="27" spans="1:6" x14ac:dyDescent="0.2">
      <c r="A27" s="139" t="s">
        <v>111</v>
      </c>
      <c r="B27" s="139" t="s">
        <v>84</v>
      </c>
      <c r="C27" s="139" t="s">
        <v>127</v>
      </c>
      <c r="D27" s="140">
        <v>41997</v>
      </c>
      <c r="E27" s="139" t="s">
        <v>38</v>
      </c>
      <c r="F27" s="139"/>
    </row>
    <row r="28" spans="1:6" x14ac:dyDescent="0.2">
      <c r="A28" s="139" t="s">
        <v>111</v>
      </c>
      <c r="B28" s="139" t="s">
        <v>84</v>
      </c>
      <c r="C28" s="139" t="s">
        <v>128</v>
      </c>
      <c r="D28" s="140">
        <v>42040</v>
      </c>
      <c r="E28" s="139" t="s">
        <v>49</v>
      </c>
      <c r="F28" s="139"/>
    </row>
    <row r="29" spans="1:6" x14ac:dyDescent="0.2">
      <c r="A29" s="139" t="s">
        <v>111</v>
      </c>
      <c r="B29" s="139" t="s">
        <v>84</v>
      </c>
      <c r="C29" s="139" t="s">
        <v>129</v>
      </c>
      <c r="D29" s="140">
        <v>42123</v>
      </c>
      <c r="E29" s="139" t="s">
        <v>50</v>
      </c>
      <c r="F29" s="139"/>
    </row>
    <row r="30" spans="1:6" x14ac:dyDescent="0.2">
      <c r="A30" s="139" t="s">
        <v>111</v>
      </c>
      <c r="B30" s="139" t="s">
        <v>84</v>
      </c>
      <c r="C30" s="139" t="s">
        <v>130</v>
      </c>
      <c r="D30" s="140">
        <v>42202</v>
      </c>
      <c r="E30" s="139" t="s">
        <v>106</v>
      </c>
      <c r="F30" s="139"/>
    </row>
    <row r="31" spans="1:6" x14ac:dyDescent="0.2">
      <c r="A31" s="139" t="s">
        <v>111</v>
      </c>
      <c r="B31" s="139" t="s">
        <v>84</v>
      </c>
      <c r="C31" s="139" t="s">
        <v>131</v>
      </c>
      <c r="D31" s="140">
        <v>42222</v>
      </c>
      <c r="E31" s="139" t="s">
        <v>38</v>
      </c>
      <c r="F31" s="139"/>
    </row>
    <row r="32" spans="1:6" x14ac:dyDescent="0.2">
      <c r="A32" s="139" t="s">
        <v>111</v>
      </c>
      <c r="B32" s="139" t="s">
        <v>84</v>
      </c>
      <c r="C32" s="139" t="s">
        <v>132</v>
      </c>
      <c r="D32" s="140">
        <v>42243</v>
      </c>
      <c r="E32" s="139" t="s">
        <v>49</v>
      </c>
      <c r="F32" s="139"/>
    </row>
    <row r="33" spans="1:6" x14ac:dyDescent="0.2">
      <c r="A33" s="139" t="s">
        <v>111</v>
      </c>
      <c r="B33" s="139" t="s">
        <v>84</v>
      </c>
      <c r="C33" s="139" t="s">
        <v>133</v>
      </c>
      <c r="D33" s="140">
        <v>42633</v>
      </c>
      <c r="E33" s="139" t="s">
        <v>107</v>
      </c>
      <c r="F33" s="139"/>
    </row>
    <row r="34" spans="1:6" x14ac:dyDescent="0.2">
      <c r="A34" s="139" t="s">
        <v>111</v>
      </c>
      <c r="B34" s="139" t="s">
        <v>84</v>
      </c>
      <c r="C34" s="139" t="s">
        <v>134</v>
      </c>
      <c r="D34" s="140">
        <v>42661</v>
      </c>
      <c r="E34" s="139" t="s">
        <v>38</v>
      </c>
      <c r="F34" s="139"/>
    </row>
    <row r="35" spans="1:6" x14ac:dyDescent="0.2">
      <c r="A35" s="139" t="s">
        <v>111</v>
      </c>
      <c r="B35" s="139" t="s">
        <v>84</v>
      </c>
      <c r="C35" s="139" t="s">
        <v>135</v>
      </c>
      <c r="D35" s="140">
        <v>42689</v>
      </c>
      <c r="E35" s="139" t="s">
        <v>56</v>
      </c>
      <c r="F35" s="139"/>
    </row>
    <row r="36" spans="1:6" x14ac:dyDescent="0.2">
      <c r="A36" s="139" t="s">
        <v>111</v>
      </c>
      <c r="B36" s="139" t="s">
        <v>84</v>
      </c>
      <c r="C36" s="139" t="s">
        <v>136</v>
      </c>
      <c r="D36" s="140">
        <v>42719</v>
      </c>
      <c r="E36" s="139" t="s">
        <v>38</v>
      </c>
      <c r="F36" s="139"/>
    </row>
    <row r="37" spans="1:6" x14ac:dyDescent="0.2">
      <c r="A37" s="139" t="s">
        <v>111</v>
      </c>
      <c r="B37" s="139" t="s">
        <v>84</v>
      </c>
      <c r="C37" s="139" t="s">
        <v>137</v>
      </c>
      <c r="D37" s="140">
        <v>42740</v>
      </c>
      <c r="E37" s="139" t="s">
        <v>56</v>
      </c>
      <c r="F37" s="139"/>
    </row>
    <row r="38" spans="1:6" x14ac:dyDescent="0.2">
      <c r="A38" s="139" t="s">
        <v>111</v>
      </c>
      <c r="B38" s="139" t="s">
        <v>84</v>
      </c>
      <c r="C38" s="139" t="s">
        <v>138</v>
      </c>
      <c r="D38" s="140">
        <v>42775</v>
      </c>
      <c r="E38" s="139" t="s">
        <v>57</v>
      </c>
      <c r="F38" s="139"/>
    </row>
    <row r="39" spans="1:6" x14ac:dyDescent="0.2">
      <c r="A39" s="139" t="s">
        <v>111</v>
      </c>
      <c r="B39" s="139" t="s">
        <v>84</v>
      </c>
      <c r="C39" s="139" t="s">
        <v>139</v>
      </c>
      <c r="D39" s="140">
        <v>42873</v>
      </c>
      <c r="E39" s="139" t="s">
        <v>7</v>
      </c>
      <c r="F39" s="139"/>
    </row>
    <row r="40" spans="1:6" x14ac:dyDescent="0.2">
      <c r="A40" s="139" t="s">
        <v>113</v>
      </c>
      <c r="B40" s="139" t="s">
        <v>89</v>
      </c>
      <c r="C40" s="139" t="s">
        <v>126</v>
      </c>
      <c r="D40" s="140">
        <v>42642</v>
      </c>
      <c r="E40" s="139" t="s">
        <v>7</v>
      </c>
      <c r="F40" s="139"/>
    </row>
    <row r="41" spans="1:6" x14ac:dyDescent="0.2">
      <c r="A41" s="139" t="s">
        <v>113</v>
      </c>
      <c r="B41" s="139" t="s">
        <v>89</v>
      </c>
      <c r="C41" s="139" t="s">
        <v>127</v>
      </c>
      <c r="D41" s="140">
        <v>42712</v>
      </c>
      <c r="E41" s="139" t="s">
        <v>7</v>
      </c>
      <c r="F41" s="139"/>
    </row>
    <row r="42" spans="1:6" x14ac:dyDescent="0.2">
      <c r="A42" s="139" t="s">
        <v>113</v>
      </c>
      <c r="B42" s="139" t="s">
        <v>89</v>
      </c>
      <c r="C42" s="139" t="s">
        <v>128</v>
      </c>
      <c r="D42" s="140">
        <v>42761</v>
      </c>
      <c r="E42" s="139" t="s">
        <v>7</v>
      </c>
      <c r="F42" s="139"/>
    </row>
    <row r="43" spans="1:6" x14ac:dyDescent="0.2">
      <c r="A43" s="139" t="s">
        <v>113</v>
      </c>
      <c r="B43" s="139" t="s">
        <v>89</v>
      </c>
      <c r="C43" s="139" t="s">
        <v>129</v>
      </c>
      <c r="D43" s="140">
        <v>42796</v>
      </c>
      <c r="E43" s="139" t="s">
        <v>36</v>
      </c>
      <c r="F43" s="139"/>
    </row>
    <row r="44" spans="1:6" x14ac:dyDescent="0.2">
      <c r="A44" s="139" t="s">
        <v>113</v>
      </c>
      <c r="B44" s="139" t="s">
        <v>89</v>
      </c>
      <c r="C44" s="139" t="s">
        <v>130</v>
      </c>
      <c r="D44" s="140">
        <v>42824</v>
      </c>
      <c r="E44" s="139" t="s">
        <v>38</v>
      </c>
      <c r="F44" s="139"/>
    </row>
    <row r="45" spans="1:6" x14ac:dyDescent="0.2">
      <c r="A45" s="139" t="s">
        <v>113</v>
      </c>
      <c r="B45" s="139" t="s">
        <v>89</v>
      </c>
      <c r="C45" s="139" t="s">
        <v>131</v>
      </c>
      <c r="D45" s="140">
        <v>42845</v>
      </c>
      <c r="E45" s="139" t="s">
        <v>56</v>
      </c>
      <c r="F45" s="139"/>
    </row>
    <row r="46" spans="1:6" x14ac:dyDescent="0.2">
      <c r="A46" s="139" t="s">
        <v>113</v>
      </c>
      <c r="B46" s="139" t="s">
        <v>89</v>
      </c>
      <c r="C46" s="139" t="s">
        <v>132</v>
      </c>
      <c r="D46" s="140">
        <v>42901</v>
      </c>
      <c r="E46" s="139" t="s">
        <v>80</v>
      </c>
      <c r="F46" s="139"/>
    </row>
    <row r="47" spans="1:6" x14ac:dyDescent="0.2">
      <c r="A47" s="139" t="s">
        <v>114</v>
      </c>
      <c r="B47" s="139" t="s">
        <v>90</v>
      </c>
      <c r="C47" s="139" t="s">
        <v>126</v>
      </c>
      <c r="D47" s="140">
        <v>42516</v>
      </c>
      <c r="E47" s="139" t="s">
        <v>108</v>
      </c>
      <c r="F47" s="139"/>
    </row>
    <row r="48" spans="1:6" x14ac:dyDescent="0.2">
      <c r="A48" s="139" t="s">
        <v>114</v>
      </c>
      <c r="B48" s="139" t="s">
        <v>90</v>
      </c>
      <c r="C48" s="139" t="s">
        <v>127</v>
      </c>
      <c r="D48" s="140">
        <v>42684</v>
      </c>
      <c r="E48" s="139" t="s">
        <v>109</v>
      </c>
      <c r="F48" s="139"/>
    </row>
    <row r="49" spans="1:6" x14ac:dyDescent="0.2">
      <c r="A49" s="139" t="s">
        <v>114</v>
      </c>
      <c r="B49" s="139" t="s">
        <v>90</v>
      </c>
      <c r="C49" s="139" t="s">
        <v>128</v>
      </c>
      <c r="D49" s="140">
        <v>42712</v>
      </c>
      <c r="E49" s="139" t="s">
        <v>7</v>
      </c>
      <c r="F49" s="139"/>
    </row>
    <row r="50" spans="1:6" x14ac:dyDescent="0.2">
      <c r="A50" s="139" t="s">
        <v>114</v>
      </c>
      <c r="B50" s="139" t="s">
        <v>90</v>
      </c>
      <c r="C50" s="139" t="s">
        <v>129</v>
      </c>
      <c r="D50" s="140">
        <v>42747</v>
      </c>
      <c r="E50" s="139" t="s">
        <v>36</v>
      </c>
      <c r="F50" s="139"/>
    </row>
    <row r="51" spans="1:6" x14ac:dyDescent="0.2">
      <c r="A51" s="139" t="s">
        <v>114</v>
      </c>
      <c r="B51" s="139" t="s">
        <v>90</v>
      </c>
      <c r="C51" s="139" t="s">
        <v>130</v>
      </c>
      <c r="D51" s="140">
        <v>42775</v>
      </c>
      <c r="E51" s="139" t="s">
        <v>38</v>
      </c>
      <c r="F51" s="139"/>
    </row>
    <row r="52" spans="1:6" x14ac:dyDescent="0.2">
      <c r="A52" s="139" t="s">
        <v>114</v>
      </c>
      <c r="B52" s="139" t="s">
        <v>90</v>
      </c>
      <c r="C52" s="139" t="s">
        <v>131</v>
      </c>
      <c r="D52" s="140">
        <v>42808</v>
      </c>
      <c r="E52" s="139" t="s">
        <v>39</v>
      </c>
      <c r="F52" s="139"/>
    </row>
    <row r="53" spans="1:6" x14ac:dyDescent="0.2">
      <c r="A53" s="139" t="s">
        <v>114</v>
      </c>
      <c r="B53" s="139" t="s">
        <v>90</v>
      </c>
      <c r="C53" s="139" t="s">
        <v>132</v>
      </c>
      <c r="D53" s="140">
        <v>42880</v>
      </c>
      <c r="E53" s="139" t="s">
        <v>7</v>
      </c>
      <c r="F53" s="139"/>
    </row>
    <row r="54" spans="1:6" x14ac:dyDescent="0.2">
      <c r="A54" s="139" t="s">
        <v>114</v>
      </c>
      <c r="B54" s="139" t="s">
        <v>90</v>
      </c>
      <c r="C54" s="139" t="s">
        <v>133</v>
      </c>
      <c r="D54" s="140">
        <v>42936</v>
      </c>
      <c r="E54" s="139" t="s">
        <v>7</v>
      </c>
      <c r="F54" s="139"/>
    </row>
    <row r="55" spans="1:6" x14ac:dyDescent="0.2">
      <c r="A55" s="139" t="s">
        <v>114</v>
      </c>
      <c r="B55" s="139" t="s">
        <v>90</v>
      </c>
      <c r="C55" s="139" t="s">
        <v>134</v>
      </c>
      <c r="D55" s="140">
        <v>43111</v>
      </c>
      <c r="E55" s="139" t="s">
        <v>7</v>
      </c>
      <c r="F55" s="1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14.33203125" bestFit="1" customWidth="1"/>
    <col min="2" max="2" width="19.1640625" bestFit="1" customWidth="1"/>
    <col min="3" max="3" width="17.6640625" style="3" bestFit="1" customWidth="1"/>
    <col min="4" max="4" width="16.83203125" style="3" bestFit="1" customWidth="1"/>
  </cols>
  <sheetData>
    <row r="1" spans="1:4" ht="16" thickBot="1" x14ac:dyDescent="0.25">
      <c r="A1" s="6" t="s">
        <v>0</v>
      </c>
      <c r="B1" s="7">
        <v>5</v>
      </c>
      <c r="C1" s="7">
        <v>3</v>
      </c>
      <c r="D1" s="8">
        <v>28</v>
      </c>
    </row>
    <row r="2" spans="1:4" ht="16" thickBot="1" x14ac:dyDescent="0.25">
      <c r="A2" s="9" t="s">
        <v>3</v>
      </c>
      <c r="B2" s="10" t="s">
        <v>2</v>
      </c>
      <c r="C2" s="10" t="s">
        <v>1</v>
      </c>
      <c r="D2" s="11" t="s">
        <v>1</v>
      </c>
    </row>
    <row r="3" spans="1:4" x14ac:dyDescent="0.2">
      <c r="A3" s="42" t="s">
        <v>4</v>
      </c>
      <c r="B3" s="43" t="s">
        <v>36</v>
      </c>
      <c r="C3" s="26" t="s">
        <v>7</v>
      </c>
      <c r="D3" s="26" t="s">
        <v>40</v>
      </c>
    </row>
    <row r="4" spans="1:4" x14ac:dyDescent="0.2">
      <c r="A4" s="44" t="s">
        <v>5</v>
      </c>
      <c r="B4" s="24" t="s">
        <v>43</v>
      </c>
      <c r="C4" s="21" t="s">
        <v>8</v>
      </c>
      <c r="D4" s="21" t="s">
        <v>41</v>
      </c>
    </row>
    <row r="5" spans="1:4" ht="48" x14ac:dyDescent="0.2">
      <c r="A5" s="44" t="s">
        <v>6</v>
      </c>
      <c r="B5" s="21" t="s">
        <v>37</v>
      </c>
      <c r="C5" s="21" t="s">
        <v>11</v>
      </c>
      <c r="D5" s="19" t="s">
        <v>30</v>
      </c>
    </row>
    <row r="6" spans="1:4" ht="33" thickBot="1" x14ac:dyDescent="0.25">
      <c r="A6" s="45" t="s">
        <v>9</v>
      </c>
      <c r="B6" s="50" t="s">
        <v>66</v>
      </c>
      <c r="C6" s="28" t="s">
        <v>10</v>
      </c>
      <c r="D6" s="28" t="s">
        <v>42</v>
      </c>
    </row>
    <row r="7" spans="1:4" x14ac:dyDescent="0.2">
      <c r="A7" s="12" t="s">
        <v>12</v>
      </c>
      <c r="B7" s="22" t="s">
        <v>64</v>
      </c>
      <c r="C7" s="15" t="s">
        <v>7</v>
      </c>
      <c r="D7" s="22" t="s">
        <v>7</v>
      </c>
    </row>
    <row r="8" spans="1:4" x14ac:dyDescent="0.2">
      <c r="A8" s="13" t="s">
        <v>5</v>
      </c>
      <c r="B8" s="23" t="s">
        <v>43</v>
      </c>
      <c r="C8" s="16" t="s">
        <v>13</v>
      </c>
      <c r="D8" s="23" t="s">
        <v>43</v>
      </c>
    </row>
    <row r="9" spans="1:4" x14ac:dyDescent="0.2">
      <c r="A9" s="13" t="s">
        <v>6</v>
      </c>
      <c r="B9" s="16" t="s">
        <v>37</v>
      </c>
      <c r="C9" s="16" t="s">
        <v>11</v>
      </c>
      <c r="D9" s="23" t="s">
        <v>19</v>
      </c>
    </row>
    <row r="10" spans="1:4" ht="33" thickBot="1" x14ac:dyDescent="0.25">
      <c r="A10" s="14" t="s">
        <v>9</v>
      </c>
      <c r="B10" s="25" t="s">
        <v>67</v>
      </c>
      <c r="C10" s="17" t="s">
        <v>14</v>
      </c>
      <c r="D10" s="25" t="s">
        <v>44</v>
      </c>
    </row>
    <row r="11" spans="1:4" x14ac:dyDescent="0.2">
      <c r="A11" s="29" t="s">
        <v>15</v>
      </c>
      <c r="B11" s="26" t="s">
        <v>49</v>
      </c>
      <c r="C11" s="26" t="s">
        <v>7</v>
      </c>
      <c r="D11" s="26" t="s">
        <v>7</v>
      </c>
    </row>
    <row r="12" spans="1:4" x14ac:dyDescent="0.2">
      <c r="A12" s="30" t="s">
        <v>5</v>
      </c>
      <c r="B12" s="24" t="s">
        <v>43</v>
      </c>
      <c r="C12" s="18" t="s">
        <v>13</v>
      </c>
      <c r="D12" s="18" t="s">
        <v>45</v>
      </c>
    </row>
    <row r="13" spans="1:4" x14ac:dyDescent="0.2">
      <c r="A13" s="30" t="s">
        <v>6</v>
      </c>
      <c r="B13" s="21" t="s">
        <v>37</v>
      </c>
      <c r="C13" s="18" t="s">
        <v>11</v>
      </c>
      <c r="D13" s="18" t="s">
        <v>46</v>
      </c>
    </row>
    <row r="14" spans="1:4" ht="49" thickBot="1" x14ac:dyDescent="0.25">
      <c r="A14" s="31" t="s">
        <v>9</v>
      </c>
      <c r="B14" s="27" t="s">
        <v>68</v>
      </c>
      <c r="C14" s="27" t="s">
        <v>16</v>
      </c>
      <c r="D14" s="36" t="s">
        <v>47</v>
      </c>
    </row>
    <row r="15" spans="1:4" x14ac:dyDescent="0.2">
      <c r="A15" s="32" t="s">
        <v>17</v>
      </c>
      <c r="B15" s="15" t="s">
        <v>50</v>
      </c>
      <c r="C15" s="15" t="s">
        <v>7</v>
      </c>
      <c r="D15" s="39" t="s">
        <v>76</v>
      </c>
    </row>
    <row r="16" spans="1:4" x14ac:dyDescent="0.2">
      <c r="A16" s="33" t="s">
        <v>5</v>
      </c>
      <c r="B16" s="16" t="s">
        <v>69</v>
      </c>
      <c r="C16" s="16" t="s">
        <v>18</v>
      </c>
      <c r="D16" s="40"/>
    </row>
    <row r="17" spans="1:4" x14ac:dyDescent="0.2">
      <c r="A17" s="33" t="s">
        <v>6</v>
      </c>
      <c r="B17" s="16" t="s">
        <v>37</v>
      </c>
      <c r="C17" s="16" t="s">
        <v>19</v>
      </c>
      <c r="D17" s="40"/>
    </row>
    <row r="18" spans="1:4" ht="33" thickBot="1" x14ac:dyDescent="0.25">
      <c r="A18" s="34" t="s">
        <v>9</v>
      </c>
      <c r="B18" s="35" t="s">
        <v>70</v>
      </c>
      <c r="C18" s="17" t="s">
        <v>20</v>
      </c>
      <c r="D18" s="40"/>
    </row>
    <row r="19" spans="1:4" x14ac:dyDescent="0.2">
      <c r="A19" s="29" t="s">
        <v>21</v>
      </c>
      <c r="B19" s="26" t="s">
        <v>61</v>
      </c>
      <c r="C19" s="26" t="s">
        <v>7</v>
      </c>
      <c r="D19" s="40"/>
    </row>
    <row r="20" spans="1:4" x14ac:dyDescent="0.2">
      <c r="A20" s="30" t="s">
        <v>5</v>
      </c>
      <c r="B20" s="18" t="s">
        <v>71</v>
      </c>
      <c r="C20" s="18" t="s">
        <v>22</v>
      </c>
      <c r="D20" s="40"/>
    </row>
    <row r="21" spans="1:4" x14ac:dyDescent="0.2">
      <c r="A21" s="30" t="s">
        <v>6</v>
      </c>
      <c r="B21" s="21" t="s">
        <v>37</v>
      </c>
      <c r="C21" s="18" t="s">
        <v>19</v>
      </c>
      <c r="D21" s="40"/>
    </row>
    <row r="22" spans="1:4" ht="33" thickBot="1" x14ac:dyDescent="0.25">
      <c r="A22" s="31" t="s">
        <v>9</v>
      </c>
      <c r="B22" s="27" t="s">
        <v>72</v>
      </c>
      <c r="C22" s="28" t="s">
        <v>23</v>
      </c>
      <c r="D22" s="40"/>
    </row>
    <row r="23" spans="1:4" x14ac:dyDescent="0.2">
      <c r="A23" s="32" t="s">
        <v>25</v>
      </c>
      <c r="B23" s="22" t="s">
        <v>65</v>
      </c>
      <c r="C23" s="15" t="s">
        <v>7</v>
      </c>
      <c r="D23" s="47"/>
    </row>
    <row r="24" spans="1:4" x14ac:dyDescent="0.2">
      <c r="A24" s="41" t="s">
        <v>5</v>
      </c>
      <c r="B24" s="23" t="s">
        <v>73</v>
      </c>
      <c r="C24" s="20" t="s">
        <v>24</v>
      </c>
      <c r="D24" s="47"/>
    </row>
    <row r="25" spans="1:4" x14ac:dyDescent="0.2">
      <c r="A25" s="41" t="s">
        <v>6</v>
      </c>
      <c r="B25" s="20" t="s">
        <v>37</v>
      </c>
      <c r="C25" s="20" t="s">
        <v>19</v>
      </c>
      <c r="D25" s="47"/>
    </row>
    <row r="26" spans="1:4" ht="33" thickBot="1" x14ac:dyDescent="0.25">
      <c r="A26" s="34" t="s">
        <v>9</v>
      </c>
      <c r="B26" s="38" t="s">
        <v>74</v>
      </c>
      <c r="C26" s="17" t="s">
        <v>26</v>
      </c>
      <c r="D26" s="47"/>
    </row>
    <row r="27" spans="1:4" x14ac:dyDescent="0.2">
      <c r="A27" s="42" t="s">
        <v>28</v>
      </c>
      <c r="B27" s="39" t="s">
        <v>75</v>
      </c>
      <c r="C27" s="26" t="s">
        <v>27</v>
      </c>
      <c r="D27" s="47"/>
    </row>
    <row r="28" spans="1:4" ht="48" x14ac:dyDescent="0.2">
      <c r="C28" s="51" t="s">
        <v>29</v>
      </c>
      <c r="D28" s="47"/>
    </row>
    <row r="29" spans="1:4" ht="48" x14ac:dyDescent="0.2">
      <c r="C29" s="51" t="s">
        <v>30</v>
      </c>
      <c r="D29" s="47"/>
    </row>
    <row r="30" spans="1:4" ht="49" thickBot="1" x14ac:dyDescent="0.25">
      <c r="C30" s="52" t="s">
        <v>31</v>
      </c>
      <c r="D30" s="47"/>
    </row>
    <row r="31" spans="1:4" x14ac:dyDescent="0.2">
      <c r="C31" s="15" t="s">
        <v>7</v>
      </c>
      <c r="D31" s="47"/>
    </row>
    <row r="32" spans="1:4" x14ac:dyDescent="0.2">
      <c r="C32" s="20" t="s">
        <v>33</v>
      </c>
      <c r="D32" s="47"/>
    </row>
    <row r="33" spans="3:4" x14ac:dyDescent="0.2">
      <c r="C33" s="16" t="s">
        <v>19</v>
      </c>
      <c r="D33" s="47"/>
    </row>
    <row r="34" spans="3:4" ht="49" thickBot="1" x14ac:dyDescent="0.25">
      <c r="C34" s="35" t="s">
        <v>34</v>
      </c>
      <c r="D34" s="47"/>
    </row>
    <row r="35" spans="3:4" x14ac:dyDescent="0.2">
      <c r="C35" s="46" t="s">
        <v>7</v>
      </c>
      <c r="D35" s="47"/>
    </row>
    <row r="36" spans="3:4" x14ac:dyDescent="0.2">
      <c r="C36" s="37" t="s">
        <v>45</v>
      </c>
      <c r="D36" s="47"/>
    </row>
    <row r="37" spans="3:4" x14ac:dyDescent="0.2">
      <c r="C37" s="37" t="s">
        <v>19</v>
      </c>
      <c r="D37" s="47"/>
    </row>
    <row r="38" spans="3:4" ht="49" thickBot="1" x14ac:dyDescent="0.25">
      <c r="C38" s="49" t="s">
        <v>48</v>
      </c>
      <c r="D38" s="47"/>
    </row>
    <row r="39" spans="3:4" x14ac:dyDescent="0.2">
      <c r="C39" s="47" t="s">
        <v>76</v>
      </c>
      <c r="D39" s="47"/>
    </row>
    <row r="40" spans="3:4" x14ac:dyDescent="0.2">
      <c r="C40" s="47"/>
      <c r="D40" s="47"/>
    </row>
    <row r="41" spans="3:4" x14ac:dyDescent="0.2">
      <c r="C41" s="47"/>
      <c r="D41" s="47"/>
    </row>
    <row r="42" spans="3:4" x14ac:dyDescent="0.2">
      <c r="C42" s="47"/>
      <c r="D42" s="47"/>
    </row>
    <row r="43" spans="3:4" x14ac:dyDescent="0.2">
      <c r="C43" s="47"/>
      <c r="D43" s="47"/>
    </row>
    <row r="44" spans="3:4" x14ac:dyDescent="0.2">
      <c r="C44" s="47"/>
      <c r="D44" s="47"/>
    </row>
    <row r="45" spans="3:4" x14ac:dyDescent="0.2">
      <c r="C45" s="47"/>
      <c r="D45" s="47"/>
    </row>
    <row r="46" spans="3:4" x14ac:dyDescent="0.2">
      <c r="C46" s="47"/>
      <c r="D46" s="47"/>
    </row>
    <row r="47" spans="3:4" x14ac:dyDescent="0.2">
      <c r="C47" s="47"/>
      <c r="D47" s="47"/>
    </row>
    <row r="48" spans="3:4" x14ac:dyDescent="0.2">
      <c r="C48" s="47"/>
      <c r="D48" s="47"/>
    </row>
    <row r="49" spans="3:4" x14ac:dyDescent="0.2">
      <c r="C49" s="47"/>
      <c r="D49" s="47"/>
    </row>
    <row r="50" spans="3:4" x14ac:dyDescent="0.2">
      <c r="C50" s="47"/>
      <c r="D50" s="47"/>
    </row>
    <row r="51" spans="3:4" x14ac:dyDescent="0.2">
      <c r="C51" s="47"/>
      <c r="D51" s="47"/>
    </row>
    <row r="52" spans="3:4" x14ac:dyDescent="0.2">
      <c r="C52" s="47"/>
      <c r="D52" s="47"/>
    </row>
    <row r="53" spans="3:4" x14ac:dyDescent="0.2">
      <c r="C53" s="47"/>
      <c r="D53" s="47"/>
    </row>
    <row r="54" spans="3:4" x14ac:dyDescent="0.2">
      <c r="C54" s="47"/>
      <c r="D54" s="47"/>
    </row>
    <row r="55" spans="3:4" x14ac:dyDescent="0.2">
      <c r="C55" s="47"/>
      <c r="D55" s="47"/>
    </row>
    <row r="56" spans="3:4" x14ac:dyDescent="0.2">
      <c r="C56" s="47"/>
      <c r="D56" s="47"/>
    </row>
    <row r="57" spans="3:4" x14ac:dyDescent="0.2">
      <c r="C57" s="47"/>
      <c r="D57" s="47"/>
    </row>
    <row r="58" spans="3:4" x14ac:dyDescent="0.2">
      <c r="C58" s="47"/>
      <c r="D58" s="47"/>
    </row>
    <row r="59" spans="3:4" x14ac:dyDescent="0.2">
      <c r="C59" s="47"/>
      <c r="D59" s="47"/>
    </row>
    <row r="60" spans="3:4" x14ac:dyDescent="0.2">
      <c r="C60" s="47"/>
      <c r="D60" s="47"/>
    </row>
    <row r="61" spans="3:4" x14ac:dyDescent="0.2">
      <c r="C61" s="47"/>
      <c r="D61" s="47"/>
    </row>
    <row r="62" spans="3:4" ht="16" thickBot="1" x14ac:dyDescent="0.25">
      <c r="C62" s="48"/>
      <c r="D62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 pilot</vt:lpstr>
      <vt:lpstr>Dates collection</vt:lpstr>
      <vt:lpstr>Excluded</vt:lpstr>
      <vt:lpstr>Sheet3</vt:lpstr>
    </vt:vector>
  </TitlesOfParts>
  <Company>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Biggs, Heather</dc:creator>
  <cp:lastModifiedBy>Microsoft Office User</cp:lastModifiedBy>
  <dcterms:created xsi:type="dcterms:W3CDTF">2017-11-13T11:22:56Z</dcterms:created>
  <dcterms:modified xsi:type="dcterms:W3CDTF">2020-11-03T13:06:24Z</dcterms:modified>
</cp:coreProperties>
</file>