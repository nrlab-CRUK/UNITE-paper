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12"/>
  <workbookPr defaultThemeVersion="124226"/>
  <xr:revisionPtr revIDLastSave="0" documentId="8_{0FCDB47A-3966-4466-BF4E-8599F4C5FC3A}" xr6:coauthVersionLast="47" xr6:coauthVersionMax="47" xr10:uidLastSave="{00000000-0000-0000-0000-000000000000}"/>
  <bookViews>
    <workbookView xWindow="135" yWindow="210" windowWidth="17550" windowHeight="10515" tabRatio="828" firstSheet="5" activeTab="5" xr2:uid="{00000000-000D-0000-FFFF-FFFF00000000}"/>
  </bookViews>
  <sheets>
    <sheet name="Healthy subjects" sheetId="5" r:id="rId1"/>
    <sheet name="Pregnant cases" sheetId="1" r:id="rId2"/>
    <sheet name="Liver transplantation patients" sheetId="4" r:id="rId3"/>
    <sheet name="HCC patients" sheetId="2" r:id="rId4"/>
    <sheet name="CRC patients" sheetId="6" r:id="rId5"/>
    <sheet name="Lung cancer patients" sheetId="12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6" l="1"/>
  <c r="P12" i="6" s="1"/>
  <c r="M12" i="6"/>
  <c r="N12" i="6" s="1"/>
  <c r="O11" i="6"/>
  <c r="P11" i="6" s="1"/>
  <c r="M11" i="6"/>
  <c r="N11" i="6" s="1"/>
  <c r="O10" i="6"/>
  <c r="P10" i="6" s="1"/>
  <c r="M10" i="6"/>
  <c r="N10" i="6" s="1"/>
  <c r="O9" i="6"/>
  <c r="P9" i="6" s="1"/>
  <c r="M9" i="6"/>
  <c r="N9" i="6" s="1"/>
  <c r="O8" i="6"/>
  <c r="M8" i="6"/>
  <c r="N8" i="6" s="1"/>
  <c r="O7" i="6"/>
  <c r="P7" i="6" s="1"/>
  <c r="M7" i="6"/>
  <c r="N7" i="6" s="1"/>
  <c r="O6" i="6"/>
  <c r="P6" i="6" s="1"/>
  <c r="M6" i="6"/>
  <c r="N6" i="6" s="1"/>
  <c r="O5" i="6"/>
  <c r="P5" i="6" s="1"/>
  <c r="M5" i="6"/>
  <c r="N5" i="6" s="1"/>
  <c r="O4" i="6"/>
  <c r="M4" i="6"/>
  <c r="N4" i="6" s="1"/>
  <c r="O3" i="6"/>
  <c r="P3" i="6" s="1"/>
  <c r="M3" i="6"/>
  <c r="N3" i="6" s="1"/>
  <c r="O2" i="6"/>
  <c r="P2" i="6" s="1"/>
  <c r="M2" i="6"/>
  <c r="N2" i="6" s="1"/>
  <c r="P8" i="6" l="1"/>
  <c r="P4" i="6"/>
</calcChain>
</file>

<file path=xl/sharedStrings.xml><?xml version="1.0" encoding="utf-8"?>
<sst xmlns="http://schemas.openxmlformats.org/spreadsheetml/2006/main" count="350" uniqueCount="190">
  <si>
    <t>#ID</t>
    <phoneticPr fontId="1" type="noConversion"/>
  </si>
  <si>
    <t>Intestine</t>
    <phoneticPr fontId="1" type="noConversion"/>
  </si>
  <si>
    <t>Liver</t>
  </si>
  <si>
    <t>Lung</t>
  </si>
  <si>
    <t>Ovary</t>
  </si>
  <si>
    <t>Breast</t>
  </si>
  <si>
    <t>Placenta</t>
  </si>
  <si>
    <t>Tcell</t>
  </si>
  <si>
    <t>Gender</t>
    <phoneticPr fontId="1" type="noConversion"/>
  </si>
  <si>
    <t>C309</t>
  </si>
  <si>
    <t>F</t>
    <phoneticPr fontId="1" type="noConversion"/>
  </si>
  <si>
    <t>C310</t>
  </si>
  <si>
    <t>C311</t>
  </si>
  <si>
    <t>M</t>
    <phoneticPr fontId="1" type="noConversion"/>
  </si>
  <si>
    <t>C312</t>
  </si>
  <si>
    <t>C313</t>
  </si>
  <si>
    <t>C314</t>
  </si>
  <si>
    <t>C315</t>
  </si>
  <si>
    <t>C316</t>
  </si>
  <si>
    <t>C325</t>
  </si>
  <si>
    <t>C326</t>
  </si>
  <si>
    <t>C327</t>
  </si>
  <si>
    <t>C329</t>
  </si>
  <si>
    <t>C330</t>
  </si>
  <si>
    <t>C331</t>
  </si>
  <si>
    <t>C332</t>
  </si>
  <si>
    <t>C333</t>
  </si>
  <si>
    <t>C343</t>
  </si>
  <si>
    <t>C345</t>
  </si>
  <si>
    <t>C346</t>
  </si>
  <si>
    <t>C347</t>
  </si>
  <si>
    <t>C348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</si>
  <si>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</si>
  <si>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</si>
  <si>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</si>
  <si>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</si>
  <si>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</si>
  <si>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</si>
  <si>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</si>
  <si>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</si>
  <si>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</si>
  <si>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</si>
  <si>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</si>
  <si>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Fetal DNA fraction (%)</t>
    <phoneticPr fontId="1" type="noConversion"/>
  </si>
  <si>
    <t>Read number</t>
    <phoneticPr fontId="1" type="noConversion"/>
  </si>
  <si>
    <t>Donor DNA fraction (%)</t>
    <phoneticPr fontId="1" type="noConversion"/>
  </si>
  <si>
    <t>T99</t>
  </si>
  <si>
    <t>TBR1448</t>
  </si>
  <si>
    <t>TBR1449</t>
  </si>
  <si>
    <t>TBR1450</t>
  </si>
  <si>
    <t>TBR1451</t>
  </si>
  <si>
    <t>TBR1452</t>
  </si>
  <si>
    <t>TBR1453</t>
  </si>
  <si>
    <t>TBR1454</t>
  </si>
  <si>
    <t>TBR1573</t>
  </si>
  <si>
    <t>TBR1574</t>
  </si>
  <si>
    <t>TBR1575</t>
  </si>
  <si>
    <t>TBR1576</t>
  </si>
  <si>
    <t>TBR1577</t>
  </si>
  <si>
    <t>TBR1578</t>
  </si>
  <si>
    <t>Tumor DNA fraction (%)</t>
    <phoneticPr fontId="1" type="noConversion"/>
  </si>
  <si>
    <t>Remarks</t>
    <phoneticPr fontId="1" type="noConversion"/>
  </si>
  <si>
    <t>H203</t>
  </si>
  <si>
    <t>Not used</t>
    <phoneticPr fontId="1" type="noConversion"/>
  </si>
  <si>
    <t>H209</t>
  </si>
  <si>
    <t>H246</t>
  </si>
  <si>
    <t>H247</t>
  </si>
  <si>
    <t>H249</t>
  </si>
  <si>
    <t>H253</t>
  </si>
  <si>
    <t>H254</t>
  </si>
  <si>
    <t>H269</t>
  </si>
  <si>
    <t>H275</t>
  </si>
  <si>
    <t>H288</t>
  </si>
  <si>
    <t>H315</t>
  </si>
  <si>
    <t>H324</t>
  </si>
  <si>
    <t>H342</t>
  </si>
  <si>
    <t>H421</t>
  </si>
  <si>
    <t>H436</t>
  </si>
  <si>
    <t>HOT417</t>
  </si>
  <si>
    <t>H263</t>
  </si>
  <si>
    <t>Low tumor load group</t>
    <phoneticPr fontId="1" type="noConversion"/>
  </si>
  <si>
    <t>H220</t>
  </si>
  <si>
    <t>HOT432</t>
  </si>
  <si>
    <t>H250</t>
  </si>
  <si>
    <t>H292</t>
  </si>
  <si>
    <t>H424</t>
  </si>
  <si>
    <t>H261</t>
  </si>
  <si>
    <t>H206</t>
  </si>
  <si>
    <t>H296</t>
  </si>
  <si>
    <t>HOT410</t>
  </si>
  <si>
    <t>H300</t>
  </si>
  <si>
    <t>H196</t>
  </si>
  <si>
    <t>H218</t>
  </si>
  <si>
    <t>HOT428</t>
  </si>
  <si>
    <t>H433</t>
  </si>
  <si>
    <t>H341</t>
  </si>
  <si>
    <t>HOT425</t>
  </si>
  <si>
    <t>H311</t>
  </si>
  <si>
    <t>H283</t>
  </si>
  <si>
    <t>H374</t>
  </si>
  <si>
    <t>HOT413</t>
  </si>
  <si>
    <t>H285</t>
  </si>
  <si>
    <t>HOT427</t>
  </si>
  <si>
    <t>H223</t>
  </si>
  <si>
    <t>HOT393</t>
  </si>
  <si>
    <t>H323</t>
  </si>
  <si>
    <t>HOT386</t>
  </si>
  <si>
    <t>H225</t>
  </si>
  <si>
    <t>H402</t>
  </si>
  <si>
    <t>H228</t>
  </si>
  <si>
    <t>H419</t>
  </si>
  <si>
    <t>H377</t>
  </si>
  <si>
    <t>HOT422</t>
  </si>
  <si>
    <t>H278</t>
  </si>
  <si>
    <t>H264</t>
  </si>
  <si>
    <t>H232</t>
  </si>
  <si>
    <t>H252</t>
  </si>
  <si>
    <t>HOT397</t>
  </si>
  <si>
    <t>H352</t>
  </si>
  <si>
    <t>H230</t>
  </si>
  <si>
    <t>H301</t>
  </si>
  <si>
    <t>HOT394</t>
  </si>
  <si>
    <t>H435</t>
  </si>
  <si>
    <t>H321</t>
  </si>
  <si>
    <t>H200</t>
  </si>
  <si>
    <t>H256</t>
  </si>
  <si>
    <t>H344</t>
  </si>
  <si>
    <t>H226</t>
  </si>
  <si>
    <t>H214</t>
  </si>
  <si>
    <t>H390</t>
  </si>
  <si>
    <t>H217</t>
  </si>
  <si>
    <t>H420</t>
  </si>
  <si>
    <t>HOT426</t>
  </si>
  <si>
    <t>H239</t>
  </si>
  <si>
    <t>GM1100</t>
  </si>
  <si>
    <t>H381</t>
  </si>
  <si>
    <t>H221</t>
  </si>
  <si>
    <t>H266</t>
  </si>
  <si>
    <t>H199</t>
  </si>
  <si>
    <t>H267</t>
  </si>
  <si>
    <t>H195</t>
  </si>
  <si>
    <t>H216</t>
  </si>
  <si>
    <t>H210</t>
  </si>
  <si>
    <t>H262</t>
  </si>
  <si>
    <t>H270</t>
  </si>
  <si>
    <t>H272</t>
  </si>
  <si>
    <t>H235</t>
  </si>
  <si>
    <t>High tumor load group</t>
    <phoneticPr fontId="1" type="noConversion"/>
  </si>
  <si>
    <t>H234</t>
  </si>
  <si>
    <t>HOT414</t>
  </si>
  <si>
    <t>H258</t>
  </si>
  <si>
    <t>HOT403</t>
  </si>
  <si>
    <t>H423</t>
  </si>
  <si>
    <t>HOT412</t>
  </si>
  <si>
    <t>H291</t>
  </si>
  <si>
    <t>Breast</t>
    <phoneticPr fontId="1" type="noConversion"/>
  </si>
  <si>
    <t>Tcell</t>
    <phoneticPr fontId="1" type="noConversion"/>
  </si>
  <si>
    <t>Colon DNA contribution (%)</t>
    <phoneticPr fontId="1" type="noConversion"/>
  </si>
  <si>
    <t>#Raw reads</t>
    <phoneticPr fontId="1" type="noConversion"/>
  </si>
  <si>
    <t>#Mapped reads</t>
    <phoneticPr fontId="1" type="noConversion"/>
  </si>
  <si>
    <t>%Mappability</t>
    <phoneticPr fontId="1" type="noConversion"/>
  </si>
  <si>
    <t>#Unique reads</t>
    <phoneticPr fontId="1" type="noConversion"/>
  </si>
  <si>
    <t>#fold coverage</t>
    <phoneticPr fontId="1" type="noConversion"/>
  </si>
  <si>
    <t>TBR901</t>
  </si>
  <si>
    <t>TBR910</t>
  </si>
  <si>
    <t>TBR911</t>
  </si>
  <si>
    <t>TBR912</t>
  </si>
  <si>
    <t>TBR914</t>
  </si>
  <si>
    <t>TBR916</t>
  </si>
  <si>
    <t>TBR917</t>
  </si>
  <si>
    <t>TBR919</t>
  </si>
  <si>
    <t>TBR921</t>
  </si>
  <si>
    <t>TBR922</t>
  </si>
  <si>
    <t>TBR924</t>
  </si>
  <si>
    <t>IC05</t>
  </si>
  <si>
    <t>IC06</t>
  </si>
  <si>
    <t>IC10</t>
  </si>
  <si>
    <t>IC15</t>
  </si>
  <si>
    <t>IC20</t>
  </si>
  <si>
    <t>IC22</t>
  </si>
  <si>
    <t>IC28</t>
  </si>
  <si>
    <t>IC32</t>
  </si>
  <si>
    <t>IC42</t>
  </si>
  <si>
    <t>## Quantificaiton in Snyder et al. Cell 2016; 164(1-2): 57-68.</t>
    <phoneticPr fontId="1" type="noConversion"/>
  </si>
  <si>
    <t>Small intestine</t>
    <phoneticPr fontId="1" type="noConversion"/>
  </si>
  <si>
    <t>Small cell lung carcinoma</t>
  </si>
  <si>
    <t>Breast cancer</t>
    <phoneticPr fontId="1" type="noConversion"/>
  </si>
  <si>
    <t>Leukemia (lymphoid)</t>
    <phoneticPr fontId="1" type="noConversion"/>
  </si>
  <si>
    <t>IC15</t>
    <phoneticPr fontId="1" type="noConversion"/>
  </si>
  <si>
    <t>IC20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</si>
</sst>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_ "/>
    <numFmt numFmtId="166" formatCode="0.0_ "/>
    <numFmt numFmtId="167" formatCode="0.0000"/>
  </numFmts>
  <fonts count="6">
    <font>
      <sz val="8"/>
      <color theme="1"/>
      <name val="Arial"/>
      <family val="2"/>
      <charset val="136"/>
    </font>
    <font>
      <sz val="9"/>
      <name val="Arial"/>
      <family val="2"/>
      <charset val="136"/>
    </font>
    <font>
      <sz val="11"/>
      <color theme="1"/>
      <name val="新細明體"/>
      <family val="2"/>
      <charset val="136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 tint="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164" fontId="0" fillId="0" borderId="0" xfId="0" applyNumberFormat="1" applyFill="1" applyAlignment="1">
      <alignment horizontal="center"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2" fontId="0" fillId="0" borderId="0" xfId="0" applyNumberFormat="1" applyAlignment="1"/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164" fontId="3" fillId="0" borderId="0" xfId="1" applyNumberFormat="1" applyFont="1" applyFill="1" applyAlignment="1">
      <alignment horizontal="center" vertical="center"/>
    </xf>
    <xf numFmtId="0" fontId="3" fillId="0" borderId="0" xfId="1" applyFont="1" applyAlignment="1">
      <alignment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0" borderId="0" xfId="1" applyFont="1" applyFill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164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zoomScaleNormal="100" workbookViewId="0"/>
  </sheetViews>
  <sheetFormatPr defaultColWidth="9.3984375" defaultRowHeight="11.25"/>
  <cols>
    <col min="1" max="1" width="6.19921875" style="6" bestFit="1" customWidth="1"/>
    <col min="2" max="2" width="10.19921875" style="4" bestFit="1" customWidth="1"/>
    <col min="3" max="4" width="6.59765625" style="4" bestFit="1" customWidth="1"/>
    <col min="5" max="5" width="7.19921875" style="4" bestFit="1" customWidth="1"/>
    <col min="6" max="6" width="8" style="4" bestFit="1" customWidth="1"/>
    <col min="7" max="7" width="9.59765625" style="4" bestFit="1" customWidth="1"/>
    <col min="8" max="8" width="6.3984375" style="4" bestFit="1" customWidth="1"/>
    <col min="9" max="9" width="8.59765625" style="4" bestFit="1" customWidth="1"/>
    <col min="10" max="14" width="9.3984375" style="4"/>
    <col min="15" max="15" width="18.3984375" style="4" customWidth="1"/>
    <col min="16" max="17" width="9.3984375" style="4"/>
    <col min="18" max="18" width="5.59765625" style="4" bestFit="1" customWidth="1"/>
    <col min="19" max="16384" width="9.3984375" style="4"/>
  </cols>
  <sheetData>
    <row r="1" spans="1:1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J1" s="18" t="s">
        <v>8</v>
      </c>
      <c r="K1"/>
      <c r="L1" s="3"/>
      <c r="M1" s="3"/>
      <c r="N1" s="3"/>
      <c r="O1" s="3"/>
      <c r="P1" s="3"/>
      <c r="Q1" s="3"/>
      <c r="R1" s="3"/>
    </row>
    <row r="2" spans="1:18">
      <c r="A2" t="s">
        <v>9</v>
      </c>
      <c r="B2" s="2">
        <v>-0.46570870086000599</v>
      </c>
      <c r="C2" s="2">
        <v>8.1434931313596906</v>
      </c>
      <c r="D2" s="2">
        <v>-3.9881410722271098</v>
      </c>
      <c r="E2" s="2">
        <v>0.66398707558931802</v>
      </c>
      <c r="F2" s="2">
        <v>-10.907871654646801</v>
      </c>
      <c r="G2" s="2">
        <v>-6.30066074548958</v>
      </c>
      <c r="H2" s="2">
        <v>24.838241097648201</v>
      </c>
      <c r="I2" s="5"/>
      <c r="J2" s="2" t="s">
        <v>10</v>
      </c>
      <c r="K2"/>
      <c r="L2" s="2"/>
      <c r="M2" s="2"/>
      <c r="N2" s="2"/>
      <c r="O2" s="2"/>
      <c r="Q2" s="2"/>
      <c r="R2" s="2"/>
    </row>
    <row r="3" spans="1:18">
      <c r="A3" t="s">
        <v>11</v>
      </c>
      <c r="B3" s="2">
        <v>-7.3711290425909501</v>
      </c>
      <c r="C3" s="2">
        <v>17.812632173894499</v>
      </c>
      <c r="D3" s="2">
        <v>-4.3186831058643804</v>
      </c>
      <c r="E3" s="2">
        <v>-0.137245545469455</v>
      </c>
      <c r="F3" s="2">
        <v>-14.7966063318599</v>
      </c>
      <c r="G3" s="2">
        <v>-4.3932060825816803</v>
      </c>
      <c r="H3" s="2">
        <v>21.021645707561198</v>
      </c>
      <c r="I3" s="5"/>
      <c r="J3" s="2" t="s">
        <v>10</v>
      </c>
      <c r="K3"/>
      <c r="L3" s="2"/>
      <c r="M3" s="2"/>
      <c r="N3" s="2"/>
      <c r="O3" s="2"/>
      <c r="Q3" s="2"/>
      <c r="R3" s="2"/>
    </row>
    <row r="4" spans="1:18">
      <c r="A4" t="s">
        <v>12</v>
      </c>
      <c r="B4" s="2">
        <v>-4.3614116908952703</v>
      </c>
      <c r="C4" s="2">
        <v>8.0498518517119901</v>
      </c>
      <c r="D4" s="2">
        <v>-2.15620735424665</v>
      </c>
      <c r="E4" s="2">
        <v>-1.2944700558453499</v>
      </c>
      <c r="F4" s="2">
        <v>-13.5161725791632</v>
      </c>
      <c r="G4" s="2">
        <v>-6.4518420723857997</v>
      </c>
      <c r="H4" s="2">
        <v>21.8233718289084</v>
      </c>
      <c r="I4" s="5"/>
      <c r="J4" s="2" t="s">
        <v>13</v>
      </c>
      <c r="K4"/>
      <c r="L4" s="2"/>
      <c r="M4" s="2"/>
      <c r="N4" s="2"/>
      <c r="O4" s="2"/>
      <c r="Q4" s="2"/>
      <c r="R4" s="2"/>
    </row>
    <row r="5" spans="1:18">
      <c r="A5" t="s">
        <v>14</v>
      </c>
      <c r="B5" s="2">
        <v>-7.3901664509629903</v>
      </c>
      <c r="C5" s="2">
        <v>8.7599610800675407</v>
      </c>
      <c r="D5" s="2">
        <v>0.75362850328553999</v>
      </c>
      <c r="E5" s="2">
        <v>0.42747047039205199</v>
      </c>
      <c r="F5" s="2">
        <v>-12.9851634577143</v>
      </c>
      <c r="G5" s="2">
        <v>-3.42697202364619</v>
      </c>
      <c r="H5" s="2">
        <v>18.845345496863601</v>
      </c>
      <c r="I5" s="5"/>
      <c r="J5" s="2" t="s">
        <v>13</v>
      </c>
      <c r="K5"/>
      <c r="L5" s="2"/>
      <c r="M5" s="2"/>
      <c r="N5" s="2"/>
      <c r="O5" s="2"/>
      <c r="Q5" s="2"/>
      <c r="R5" s="2"/>
    </row>
    <row r="6" spans="1:18">
      <c r="A6" t="s">
        <v>15</v>
      </c>
      <c r="B6" s="2">
        <v>0.199624806052213</v>
      </c>
      <c r="C6" s="2">
        <v>10.082527491628101</v>
      </c>
      <c r="D6" s="2">
        <v>1.66046211628188</v>
      </c>
      <c r="E6" s="2">
        <v>2.0712676885527199</v>
      </c>
      <c r="F6" s="2">
        <v>-3.0505355018270301</v>
      </c>
      <c r="G6" s="2">
        <v>-2.43681786302318</v>
      </c>
      <c r="H6" s="2">
        <v>29.327482980031899</v>
      </c>
      <c r="I6" s="5"/>
      <c r="J6" s="2" t="s">
        <v>13</v>
      </c>
      <c r="K6"/>
      <c r="L6" s="2"/>
      <c r="M6" s="2"/>
      <c r="N6" s="2"/>
      <c r="O6" s="2"/>
      <c r="Q6" s="2"/>
      <c r="R6" s="2"/>
    </row>
    <row r="7" spans="1:18">
      <c r="A7" t="s">
        <v>16</v>
      </c>
      <c r="B7" s="2">
        <v>-0.46666448044146602</v>
      </c>
      <c r="C7" s="2">
        <v>10.2787957169561</v>
      </c>
      <c r="D7" s="2">
        <v>0.31673884186622597</v>
      </c>
      <c r="E7" s="2">
        <v>1.41513919074737</v>
      </c>
      <c r="F7" s="2">
        <v>-1.03091786041301</v>
      </c>
      <c r="G7" s="2">
        <v>-1.79585023993613</v>
      </c>
      <c r="H7" s="2">
        <v>20.325048973502501</v>
      </c>
      <c r="I7" s="5"/>
      <c r="J7" s="2" t="s">
        <v>13</v>
      </c>
      <c r="K7"/>
      <c r="L7" s="2"/>
      <c r="M7" s="2"/>
      <c r="N7" s="2"/>
      <c r="O7" s="2"/>
      <c r="Q7" s="2"/>
      <c r="R7" s="2"/>
    </row>
    <row r="8" spans="1:18">
      <c r="A8" t="s">
        <v>17</v>
      </c>
      <c r="B8" s="2">
        <v>1.2433804397366801</v>
      </c>
      <c r="C8" s="2">
        <v>14.6532651267391</v>
      </c>
      <c r="D8" s="2">
        <v>-4.0724258968774896</v>
      </c>
      <c r="E8" s="2">
        <v>1.4209160898256501</v>
      </c>
      <c r="F8" s="2">
        <v>-4.3922665014770796</v>
      </c>
      <c r="G8" s="2">
        <v>0.99967824867559296</v>
      </c>
      <c r="H8" s="2">
        <v>29.114662388207002</v>
      </c>
      <c r="I8" s="5"/>
      <c r="J8" s="2" t="s">
        <v>13</v>
      </c>
      <c r="K8"/>
      <c r="L8" s="2"/>
      <c r="M8" s="2"/>
      <c r="N8" s="2"/>
      <c r="O8" s="2"/>
      <c r="Q8" s="2"/>
      <c r="R8" s="2"/>
    </row>
    <row r="9" spans="1:18">
      <c r="A9" t="s">
        <v>18</v>
      </c>
      <c r="B9" s="2">
        <v>1.7742608600026399</v>
      </c>
      <c r="C9" s="2">
        <v>10.8103946588214</v>
      </c>
      <c r="D9" s="2">
        <v>-1.96978251357444</v>
      </c>
      <c r="E9" s="2">
        <v>1.78984926630088</v>
      </c>
      <c r="F9" s="2">
        <v>-6.3452960730917898</v>
      </c>
      <c r="G9" s="2">
        <v>-2.11636273061856</v>
      </c>
      <c r="H9" s="2">
        <v>22.154505304130598</v>
      </c>
      <c r="I9" s="5"/>
      <c r="J9" s="2" t="s">
        <v>13</v>
      </c>
      <c r="K9"/>
      <c r="L9" s="2"/>
      <c r="M9" s="2"/>
      <c r="N9" s="2"/>
      <c r="O9" s="2"/>
      <c r="Q9" s="2"/>
      <c r="R9" s="2"/>
    </row>
    <row r="10" spans="1:18">
      <c r="A10" t="s">
        <v>19</v>
      </c>
      <c r="B10" s="2">
        <v>0.33631824925461701</v>
      </c>
      <c r="C10" s="2">
        <v>17.740447032150101</v>
      </c>
      <c r="D10" s="2">
        <v>-1.0520477109103901</v>
      </c>
      <c r="E10" s="2">
        <v>4.1171245813617103</v>
      </c>
      <c r="F10" s="2">
        <v>-2.2133622284297001</v>
      </c>
      <c r="G10" s="2">
        <v>-0.74728949669264499</v>
      </c>
      <c r="H10" s="2">
        <v>23.035699521314498</v>
      </c>
      <c r="I10" s="5"/>
      <c r="J10" s="2" t="s">
        <v>13</v>
      </c>
      <c r="K10"/>
      <c r="L10" s="2"/>
      <c r="M10" s="2"/>
      <c r="N10" s="2"/>
      <c r="O10" s="2"/>
      <c r="Q10" s="2"/>
      <c r="R10" s="2"/>
    </row>
    <row r="11" spans="1:18">
      <c r="A11" t="s">
        <v>20</v>
      </c>
      <c r="B11" s="2">
        <v>2.8093683844820099</v>
      </c>
      <c r="C11" s="2">
        <v>0.23081187346752999</v>
      </c>
      <c r="D11" s="2">
        <v>1.7158181228549001</v>
      </c>
      <c r="E11" s="2">
        <v>1.2495798898958099</v>
      </c>
      <c r="F11" s="2">
        <v>-9.3828393764578095</v>
      </c>
      <c r="G11" s="2">
        <v>-3.5004560730014598</v>
      </c>
      <c r="H11" s="2">
        <v>22.282822660880299</v>
      </c>
      <c r="I11" s="5"/>
      <c r="J11" s="2" t="s">
        <v>13</v>
      </c>
      <c r="K11"/>
      <c r="L11" s="2"/>
      <c r="M11" s="2"/>
      <c r="N11" s="2"/>
      <c r="O11" s="2"/>
      <c r="Q11" s="2"/>
      <c r="R11" s="2"/>
    </row>
    <row r="12" spans="1:18">
      <c r="A12" t="s">
        <v>21</v>
      </c>
      <c r="B12" s="2">
        <v>1.04076163557858</v>
      </c>
      <c r="C12" s="2">
        <v>8.9403732903236293</v>
      </c>
      <c r="D12" s="2">
        <v>-1.2027008507778001</v>
      </c>
      <c r="E12" s="2">
        <v>-2.47153382341594E-2</v>
      </c>
      <c r="F12" s="2">
        <v>-5.1090893427101802</v>
      </c>
      <c r="G12" s="2">
        <v>-0.433186545522801</v>
      </c>
      <c r="H12" s="2">
        <v>19.701495713436302</v>
      </c>
      <c r="I12" s="5"/>
      <c r="J12" s="2" t="s">
        <v>13</v>
      </c>
      <c r="K12"/>
      <c r="L12" s="2"/>
      <c r="M12" s="2"/>
      <c r="N12" s="2"/>
      <c r="O12" s="2"/>
      <c r="Q12" s="2"/>
      <c r="R12" s="2"/>
    </row>
    <row r="13" spans="1:18">
      <c r="A13" t="s">
        <v>22</v>
      </c>
      <c r="B13" s="2">
        <v>0.118362771315219</v>
      </c>
      <c r="C13" s="2">
        <v>17.551134466288101</v>
      </c>
      <c r="D13" s="2">
        <v>-0.47751474828783103</v>
      </c>
      <c r="E13" s="2">
        <v>0.71370859736424597</v>
      </c>
      <c r="F13" s="2">
        <v>-4.4502903110756904</v>
      </c>
      <c r="G13" s="2">
        <v>-0.96554383116674103</v>
      </c>
      <c r="H13" s="2">
        <v>30.899595840218598</v>
      </c>
      <c r="I13" s="5"/>
      <c r="J13" s="2" t="s">
        <v>13</v>
      </c>
      <c r="K13"/>
      <c r="L13" s="2"/>
      <c r="M13" s="2"/>
      <c r="N13" s="2"/>
      <c r="O13" s="2"/>
      <c r="Q13" s="2"/>
      <c r="R13" s="2"/>
    </row>
    <row r="14" spans="1:18">
      <c r="A14" t="s">
        <v>23</v>
      </c>
      <c r="B14" s="2">
        <v>5.5758915640786597</v>
      </c>
      <c r="C14" s="2">
        <v>11.5755347421354</v>
      </c>
      <c r="D14" s="2">
        <v>9.2330988402615901</v>
      </c>
      <c r="E14" s="2">
        <v>0.908842873553937</v>
      </c>
      <c r="F14" s="2">
        <v>-5.9830701187087199</v>
      </c>
      <c r="G14" s="2">
        <v>2.1926871373976802</v>
      </c>
      <c r="H14" s="2">
        <v>18.573725443640399</v>
      </c>
      <c r="I14" s="5"/>
      <c r="J14" s="2" t="s">
        <v>10</v>
      </c>
      <c r="K14"/>
      <c r="L14" s="2"/>
      <c r="M14" s="2"/>
      <c r="N14" s="2"/>
      <c r="O14" s="2"/>
      <c r="Q14" s="2"/>
      <c r="R14" s="2"/>
    </row>
    <row r="15" spans="1:18">
      <c r="A15" t="s">
        <v>24</v>
      </c>
      <c r="B15" s="2">
        <v>2.9186526035317399</v>
      </c>
      <c r="C15" s="2">
        <v>5.4956946016583599</v>
      </c>
      <c r="D15" s="2">
        <v>2.2494925754096999</v>
      </c>
      <c r="E15" s="2">
        <v>-1.20091404091954</v>
      </c>
      <c r="F15" s="2">
        <v>-5.4691840355625896</v>
      </c>
      <c r="G15" s="2">
        <v>2.1070745415477199</v>
      </c>
      <c r="H15" s="2">
        <v>27.987119505945099</v>
      </c>
      <c r="I15" s="5"/>
      <c r="J15" s="2" t="s">
        <v>13</v>
      </c>
      <c r="K15"/>
      <c r="L15" s="2"/>
      <c r="M15" s="2"/>
      <c r="N15" s="2"/>
      <c r="O15" s="2"/>
      <c r="Q15" s="2"/>
      <c r="R15" s="2"/>
    </row>
    <row r="16" spans="1:18">
      <c r="A16" t="s">
        <v>25</v>
      </c>
      <c r="B16" s="2">
        <v>-0.43666703291992798</v>
      </c>
      <c r="C16" s="2">
        <v>12.193955571271401</v>
      </c>
      <c r="D16" s="2">
        <v>-0.36182169886757298</v>
      </c>
      <c r="E16" s="2">
        <v>-0.10851304302843801</v>
      </c>
      <c r="F16" s="2">
        <v>-4.0498506940084296</v>
      </c>
      <c r="G16" s="2">
        <v>-3.5089730146120202</v>
      </c>
      <c r="H16" s="2">
        <v>21.3196808838048</v>
      </c>
      <c r="I16" s="5"/>
      <c r="J16" s="2" t="s">
        <v>10</v>
      </c>
      <c r="K16"/>
      <c r="L16" s="2"/>
      <c r="M16" s="2"/>
      <c r="N16" s="2"/>
      <c r="O16" s="2"/>
      <c r="Q16" s="2"/>
      <c r="R16" s="2"/>
    </row>
    <row r="17" spans="1:18">
      <c r="A17" t="s">
        <v>26</v>
      </c>
      <c r="B17" s="2">
        <v>4.5126921396237396</v>
      </c>
      <c r="C17" s="2">
        <v>12.9009462168734</v>
      </c>
      <c r="D17" s="2">
        <v>6.9870952546998</v>
      </c>
      <c r="E17" s="2">
        <v>5.4366321263332198</v>
      </c>
      <c r="F17" s="2">
        <v>-2.52549859289718</v>
      </c>
      <c r="G17" s="2">
        <v>3.8398724809636899</v>
      </c>
      <c r="H17" s="2">
        <v>25.096543355482101</v>
      </c>
      <c r="I17" s="5"/>
      <c r="J17" s="2" t="s">
        <v>10</v>
      </c>
      <c r="K17"/>
      <c r="L17" s="2"/>
      <c r="M17" s="2"/>
      <c r="N17" s="2"/>
      <c r="O17" s="2"/>
      <c r="Q17" s="2"/>
      <c r="R17" s="2"/>
    </row>
    <row r="18" spans="1:18">
      <c r="A18" t="s">
        <v>27</v>
      </c>
      <c r="B18" s="2">
        <v>-6.01936379214641</v>
      </c>
      <c r="C18" s="2">
        <v>0.82685036355994201</v>
      </c>
      <c r="D18" s="2">
        <v>-8.45894495068009</v>
      </c>
      <c r="E18" s="2">
        <v>0.19282064961223</v>
      </c>
      <c r="F18" s="2">
        <v>-6.7064861818224104</v>
      </c>
      <c r="G18" s="2">
        <v>-1.3893830276016099</v>
      </c>
      <c r="H18" s="2">
        <v>16.497751862050301</v>
      </c>
      <c r="I18" s="5"/>
      <c r="J18" s="2" t="s">
        <v>13</v>
      </c>
      <c r="K18"/>
      <c r="L18" s="2"/>
      <c r="M18" s="2"/>
      <c r="N18" s="2"/>
      <c r="O18" s="2"/>
      <c r="Q18" s="2"/>
      <c r="R18" s="2"/>
    </row>
    <row r="19" spans="1:18">
      <c r="A19" t="s">
        <v>28</v>
      </c>
      <c r="B19" s="2">
        <v>-4.3994199094763902</v>
      </c>
      <c r="C19" s="2">
        <v>14.5480131928477</v>
      </c>
      <c r="D19" s="2">
        <v>3.9434343988696998</v>
      </c>
      <c r="E19" s="2">
        <v>2.2228796128438502</v>
      </c>
      <c r="F19" s="2">
        <v>-1.2638757977769901</v>
      </c>
      <c r="G19" s="2">
        <v>-2.8582421848820698</v>
      </c>
      <c r="H19" s="2">
        <v>21.265388149993601</v>
      </c>
      <c r="I19" s="5"/>
      <c r="J19" s="2" t="s">
        <v>10</v>
      </c>
      <c r="K19"/>
      <c r="L19" s="2"/>
      <c r="M19" s="2"/>
      <c r="N19" s="2"/>
      <c r="O19" s="2"/>
      <c r="Q19" s="2"/>
      <c r="R19" s="2"/>
    </row>
    <row r="20" spans="1:18">
      <c r="A20" t="s">
        <v>29</v>
      </c>
      <c r="B20" s="2">
        <v>0.54176050890799798</v>
      </c>
      <c r="C20" s="2">
        <v>7.6377345254859996</v>
      </c>
      <c r="D20" s="2">
        <v>-2.9014697200734898</v>
      </c>
      <c r="E20" s="2">
        <v>1.3305835438471001</v>
      </c>
      <c r="F20" s="2">
        <v>-10.0323354203616</v>
      </c>
      <c r="G20" s="2">
        <v>-4.7769018097329496</v>
      </c>
      <c r="H20" s="2">
        <v>17.549522857224598</v>
      </c>
      <c r="I20" s="5"/>
      <c r="J20" s="2" t="s">
        <v>10</v>
      </c>
      <c r="K20"/>
      <c r="L20" s="2"/>
      <c r="M20" s="2"/>
      <c r="N20" s="2"/>
      <c r="O20" s="2"/>
      <c r="Q20" s="2"/>
      <c r="R20" s="2"/>
    </row>
    <row r="21" spans="1:18">
      <c r="A21" t="s">
        <v>30</v>
      </c>
      <c r="B21" s="2">
        <v>4.3784138389724498</v>
      </c>
      <c r="C21" s="2">
        <v>14.6186398457907</v>
      </c>
      <c r="D21" s="2">
        <v>6.3860180577358401</v>
      </c>
      <c r="E21" s="2">
        <v>3.4551155681862999</v>
      </c>
      <c r="F21" s="2">
        <v>-1.0112976613110001</v>
      </c>
      <c r="G21" s="2">
        <v>-4.1317576571112804</v>
      </c>
      <c r="H21" s="2">
        <v>30.978967893943999</v>
      </c>
      <c r="I21" s="5"/>
      <c r="J21" s="2" t="s">
        <v>10</v>
      </c>
      <c r="K21"/>
      <c r="L21" s="2"/>
      <c r="M21" s="2"/>
      <c r="N21" s="2"/>
      <c r="O21" s="2"/>
      <c r="Q21" s="2"/>
      <c r="R21" s="2"/>
    </row>
    <row r="22" spans="1:18">
      <c r="A22" t="s">
        <v>31</v>
      </c>
      <c r="B22" s="2">
        <v>1.34539394303764</v>
      </c>
      <c r="C22" s="2">
        <v>14.1356032596204</v>
      </c>
      <c r="D22" s="2">
        <v>0.53690254273661298</v>
      </c>
      <c r="E22" s="2">
        <v>-3.8456210574630099</v>
      </c>
      <c r="F22" s="2">
        <v>-8.8085377682710106</v>
      </c>
      <c r="G22" s="2">
        <v>-7.1756477514863102</v>
      </c>
      <c r="H22" s="2">
        <v>20.744786530110598</v>
      </c>
      <c r="I22" s="5"/>
      <c r="J22" s="2" t="s">
        <v>13</v>
      </c>
      <c r="K22"/>
      <c r="L22" s="2"/>
      <c r="M22" s="2"/>
      <c r="N22" s="2"/>
      <c r="O22" s="2"/>
      <c r="Q22" s="2"/>
      <c r="R22" s="2"/>
    </row>
    <row r="23" spans="1:18">
      <c r="A23" t="s">
        <v>32</v>
      </c>
      <c r="B23" s="2">
        <v>0.95749420934126295</v>
      </c>
      <c r="C23" s="2">
        <v>15.017713965182301</v>
      </c>
      <c r="D23" s="2">
        <v>1.8424977195117</v>
      </c>
      <c r="E23" s="2">
        <v>2.0685921118784698</v>
      </c>
      <c r="F23" s="2">
        <v>-6.6207199176839104</v>
      </c>
      <c r="G23" s="2">
        <v>-3.4675528353773801</v>
      </c>
      <c r="H23" s="2">
        <v>26.5010385842433</v>
      </c>
      <c r="I23" s="5"/>
      <c r="J23" s="2" t="s">
        <v>10</v>
      </c>
      <c r="K23"/>
      <c r="L23" s="2"/>
      <c r="M23" s="2"/>
      <c r="N23" s="2"/>
      <c r="O23" s="2"/>
      <c r="Q23" s="2"/>
      <c r="R23" s="2"/>
    </row>
    <row r="24" spans="1:18">
      <c r="A24" t="s">
        <v>33</v>
      </c>
      <c r="B24" s="2">
        <v>6.6826674113731901</v>
      </c>
      <c r="C24" s="2">
        <v>8.5009927301551294</v>
      </c>
      <c r="D24" s="2">
        <v>3.7690935431418802</v>
      </c>
      <c r="E24" s="2">
        <v>-1.6924106308833899</v>
      </c>
      <c r="F24" s="2">
        <v>-7.0363116894713196</v>
      </c>
      <c r="G24" s="2">
        <v>-1.07531776207838</v>
      </c>
      <c r="H24" s="2">
        <v>28.4454732534609</v>
      </c>
      <c r="I24" s="5"/>
      <c r="J24" s="2" t="s">
        <v>13</v>
      </c>
      <c r="K24"/>
      <c r="L24" s="2"/>
      <c r="M24" s="2"/>
      <c r="N24" s="2"/>
      <c r="O24" s="2"/>
      <c r="Q24" s="2"/>
      <c r="R24" s="2"/>
    </row>
    <row r="25" spans="1:18">
      <c r="A25" t="s">
        <v>34</v>
      </c>
      <c r="B25" s="2">
        <v>0.69925121273405499</v>
      </c>
      <c r="C25" s="2">
        <v>5.5326668775032299</v>
      </c>
      <c r="D25" s="2">
        <v>-1.9856983996359601</v>
      </c>
      <c r="E25" s="2">
        <v>0.290026172673095</v>
      </c>
      <c r="F25" s="2">
        <v>-4.5550973246990596</v>
      </c>
      <c r="G25" s="2">
        <v>-4.5900875715905203</v>
      </c>
      <c r="H25" s="2">
        <v>23.160355904053102</v>
      </c>
      <c r="I25" s="5"/>
      <c r="J25" s="2" t="s">
        <v>13</v>
      </c>
      <c r="K25"/>
      <c r="L25" s="2"/>
      <c r="M25" s="2"/>
      <c r="N25" s="2"/>
      <c r="O25" s="2"/>
      <c r="Q25" s="2"/>
      <c r="R25" s="2"/>
    </row>
    <row r="26" spans="1:18">
      <c r="A26" t="s">
        <v>35</v>
      </c>
      <c r="B26" s="2">
        <v>3.8788208069022398</v>
      </c>
      <c r="C26" s="2">
        <v>17.481414299173998</v>
      </c>
      <c r="D26" s="2">
        <v>1.9047961436058399E-4</v>
      </c>
      <c r="E26" s="2">
        <v>-3.2978916423875502</v>
      </c>
      <c r="F26" s="2">
        <v>-11.1666724197961</v>
      </c>
      <c r="G26" s="2">
        <v>-3.0515136664421298</v>
      </c>
      <c r="H26" s="2">
        <v>22.740948464989501</v>
      </c>
      <c r="I26" s="5"/>
      <c r="J26" s="2" t="s">
        <v>13</v>
      </c>
      <c r="K26"/>
      <c r="L26" s="2"/>
      <c r="M26" s="2"/>
      <c r="N26" s="2"/>
      <c r="O26" s="2"/>
      <c r="Q26" s="2"/>
      <c r="R26" s="2"/>
    </row>
    <row r="27" spans="1:18">
      <c r="A27" t="s">
        <v>36</v>
      </c>
      <c r="B27" s="2">
        <v>-0.930830923216178</v>
      </c>
      <c r="C27" s="2">
        <v>16.860400866992101</v>
      </c>
      <c r="D27" s="2">
        <v>0.76187582471663995</v>
      </c>
      <c r="E27" s="2">
        <v>5.1700898976724297</v>
      </c>
      <c r="F27" s="2">
        <v>-6.2058884803070997</v>
      </c>
      <c r="G27" s="2">
        <v>2.05754632403705</v>
      </c>
      <c r="H27" s="2">
        <v>22.917635714844</v>
      </c>
      <c r="I27" s="5"/>
      <c r="J27" s="2" t="s">
        <v>10</v>
      </c>
      <c r="K27"/>
      <c r="L27" s="2"/>
      <c r="M27" s="2"/>
      <c r="N27" s="2"/>
      <c r="O27" s="2"/>
      <c r="Q27" s="2"/>
      <c r="R27" s="2"/>
    </row>
    <row r="28" spans="1:18">
      <c r="A28" t="s">
        <v>37</v>
      </c>
      <c r="B28" s="2">
        <v>-1.3549774511169801</v>
      </c>
      <c r="C28" s="2">
        <v>6.98778251346309</v>
      </c>
      <c r="D28" s="2">
        <v>3.9526566534493099</v>
      </c>
      <c r="E28" s="2">
        <v>-4.7933095408706103</v>
      </c>
      <c r="F28" s="2">
        <v>-9.6241464014107407</v>
      </c>
      <c r="G28" s="2">
        <v>-1.79203414072555</v>
      </c>
      <c r="H28" s="2">
        <v>24.743393270910101</v>
      </c>
      <c r="I28" s="5"/>
      <c r="J28" s="2" t="s">
        <v>10</v>
      </c>
      <c r="K28"/>
      <c r="L28" s="2"/>
      <c r="M28" s="2"/>
      <c r="N28" s="2"/>
      <c r="O28" s="2"/>
      <c r="Q28" s="2"/>
      <c r="R28" s="2"/>
    </row>
    <row r="29" spans="1:18">
      <c r="A29" t="s">
        <v>38</v>
      </c>
      <c r="B29" s="2">
        <v>-1.12896001220258</v>
      </c>
      <c r="C29" s="2">
        <v>11.956213254186499</v>
      </c>
      <c r="D29" s="2">
        <v>-0.23691549413356899</v>
      </c>
      <c r="E29" s="2">
        <v>2.7851034597146298</v>
      </c>
      <c r="F29" s="2">
        <v>-13.4321896911166</v>
      </c>
      <c r="G29" s="2">
        <v>-0.80660695928992299</v>
      </c>
      <c r="H29" s="2">
        <v>19.354318315954099</v>
      </c>
      <c r="I29" s="5"/>
      <c r="J29" s="2" t="s">
        <v>10</v>
      </c>
      <c r="K29"/>
      <c r="L29" s="2"/>
      <c r="M29" s="2"/>
      <c r="N29" s="2"/>
      <c r="O29" s="2"/>
      <c r="Q29" s="2"/>
      <c r="R29" s="2"/>
    </row>
    <row r="30" spans="1:18">
      <c r="A30" t="s">
        <v>39</v>
      </c>
      <c r="B30" s="2">
        <v>3.1289253292924299</v>
      </c>
      <c r="C30" s="2">
        <v>13.323746209285799</v>
      </c>
      <c r="D30" s="2">
        <v>2.3071707147912499</v>
      </c>
      <c r="E30" s="2">
        <v>-1.5573376916828501</v>
      </c>
      <c r="F30" s="2">
        <v>-2.8864097184028301</v>
      </c>
      <c r="G30" s="2">
        <v>-0.47357685291316898</v>
      </c>
      <c r="H30" s="2">
        <v>17.889667927679</v>
      </c>
      <c r="I30" s="5"/>
      <c r="J30" s="2" t="s">
        <v>10</v>
      </c>
      <c r="K30"/>
      <c r="L30" s="2"/>
      <c r="M30" s="2"/>
      <c r="N30" s="2"/>
      <c r="O30" s="2"/>
      <c r="Q30" s="2"/>
      <c r="R30" s="2"/>
    </row>
    <row r="31" spans="1:18">
      <c r="A31" t="s">
        <v>40</v>
      </c>
      <c r="B31" s="2">
        <v>3.2229457564244202</v>
      </c>
      <c r="C31" s="2">
        <v>18.169536908786501</v>
      </c>
      <c r="D31" s="2">
        <v>-0.63178587649252904</v>
      </c>
      <c r="E31" s="2">
        <v>1.9088323341451301</v>
      </c>
      <c r="F31" s="2">
        <v>-7.7621851171606098</v>
      </c>
      <c r="G31" s="2">
        <v>-3.7897123142466902</v>
      </c>
      <c r="H31" s="2">
        <v>24.695095121539801</v>
      </c>
      <c r="I31" s="5"/>
      <c r="J31" s="2" t="s">
        <v>10</v>
      </c>
      <c r="K31"/>
      <c r="L31" s="2"/>
      <c r="M31" s="2"/>
      <c r="N31" s="2"/>
      <c r="O31" s="2"/>
      <c r="Q31" s="2"/>
      <c r="R31" s="2"/>
    </row>
    <row r="32" spans="1:18">
      <c r="A32" t="s">
        <v>41</v>
      </c>
      <c r="B32" s="2">
        <v>-0.46373419025564999</v>
      </c>
      <c r="C32" s="2">
        <v>13.082109438257699</v>
      </c>
      <c r="D32" s="2">
        <v>-0.126331983951985</v>
      </c>
      <c r="E32" s="2">
        <v>6.0135550658458201E-2</v>
      </c>
      <c r="F32" s="2">
        <v>-3.9661955221471601</v>
      </c>
      <c r="G32" s="2">
        <v>-0.20964586674097099</v>
      </c>
      <c r="H32" s="2">
        <v>22.9094237367812</v>
      </c>
      <c r="I32" s="5"/>
      <c r="J32" s="2" t="s">
        <v>10</v>
      </c>
      <c r="K32"/>
      <c r="L32" s="2"/>
      <c r="M32" s="2"/>
      <c r="N32" s="2"/>
      <c r="O32" s="2"/>
      <c r="Q32" s="2"/>
      <c r="R32" s="2"/>
    </row>
    <row r="33" spans="1:18">
      <c r="A33" t="s">
        <v>42</v>
      </c>
      <c r="B33" s="2">
        <v>1.24496227330397</v>
      </c>
      <c r="C33" s="2">
        <v>6.9490235570142103</v>
      </c>
      <c r="D33" s="2">
        <v>-7.5644493354599804</v>
      </c>
      <c r="E33" s="2">
        <v>1.1873472847553901</v>
      </c>
      <c r="F33" s="2">
        <v>-0.70307592269557495</v>
      </c>
      <c r="G33" s="2">
        <v>-0.13067194072897301</v>
      </c>
      <c r="H33" s="2">
        <v>23.591146834430401</v>
      </c>
      <c r="I33" s="5"/>
      <c r="J33" s="2" t="s">
        <v>13</v>
      </c>
      <c r="K33"/>
      <c r="L33" s="2"/>
      <c r="M33" s="2"/>
      <c r="N33" s="2"/>
      <c r="O33" s="2"/>
      <c r="Q33" s="2"/>
      <c r="R33" s="2"/>
    </row>
    <row r="34" spans="1:18">
      <c r="A34" s="26"/>
      <c r="B34" s="5"/>
      <c r="C34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workbookViewId="0"/>
  </sheetViews>
  <sheetFormatPr defaultRowHeight="11.25"/>
  <cols>
    <col min="1" max="1" width="19.3984375" style="1" customWidth="1"/>
    <col min="2" max="2" width="10.19921875" style="3" bestFit="1" customWidth="1"/>
    <col min="3" max="4" width="6.59765625" style="3" bestFit="1" customWidth="1"/>
    <col min="5" max="5" width="7.19921875" style="3" bestFit="1" customWidth="1"/>
    <col min="6" max="6" width="8" style="3" bestFit="1" customWidth="1"/>
    <col min="7" max="7" width="9.59765625" style="3" bestFit="1" customWidth="1"/>
    <col min="8" max="8" width="6.3984375" style="3" bestFit="1" customWidth="1"/>
    <col min="10" max="10" width="22.796875" style="3" bestFit="1" customWidth="1"/>
    <col min="11" max="11" width="14.796875" style="15" bestFit="1" customWidth="1"/>
  </cols>
  <sheetData>
    <row r="1" spans="1:1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J1" s="9" t="s">
        <v>43</v>
      </c>
      <c r="K1" s="23" t="s">
        <v>44</v>
      </c>
    </row>
    <row r="2" spans="1:11">
      <c r="A2" s="1">
        <v>8957</v>
      </c>
      <c r="B2" s="2">
        <v>-4.2450226802074802</v>
      </c>
      <c r="C2" s="2">
        <v>18.196953242472699</v>
      </c>
      <c r="D2" s="2">
        <v>6.35098625349187</v>
      </c>
      <c r="E2" s="2">
        <v>0.76254631855005095</v>
      </c>
      <c r="F2" s="2">
        <v>-9.34850196717667</v>
      </c>
      <c r="G2" s="2">
        <v>-3.6652672629768999</v>
      </c>
      <c r="H2" s="2">
        <v>12.460715139901801</v>
      </c>
      <c r="J2" s="2">
        <v>5.9095483279999996</v>
      </c>
      <c r="K2" s="15">
        <v>18922605</v>
      </c>
    </row>
    <row r="3" spans="1:11">
      <c r="A3" s="1">
        <v>8378</v>
      </c>
      <c r="B3" s="2">
        <v>-3.2770179818735699</v>
      </c>
      <c r="C3" s="2">
        <v>15.793911985405201</v>
      </c>
      <c r="D3" s="2">
        <v>-6.2188121100403499</v>
      </c>
      <c r="E3" s="2">
        <v>5.08332446787702</v>
      </c>
      <c r="F3" s="2">
        <v>-6.3080839961249602</v>
      </c>
      <c r="G3" s="2">
        <v>-3.4780482079550601</v>
      </c>
      <c r="H3" s="2">
        <v>17.111890850591301</v>
      </c>
      <c r="J3" s="2">
        <v>11.50291996</v>
      </c>
      <c r="K3" s="15">
        <v>13560117</v>
      </c>
    </row>
    <row r="4" spans="1:11">
      <c r="A4" s="1">
        <v>8822</v>
      </c>
      <c r="B4" s="2">
        <v>2.2406567639875701</v>
      </c>
      <c r="C4" s="2">
        <v>0.127353956061143</v>
      </c>
      <c r="D4" s="2">
        <v>-2.8910523422801999</v>
      </c>
      <c r="E4" s="2">
        <v>2.1162249988745701</v>
      </c>
      <c r="F4" s="2">
        <v>-9.6380136191142505</v>
      </c>
      <c r="G4" s="2">
        <v>-2.3636149193418698</v>
      </c>
      <c r="H4" s="2">
        <v>9.2371138784948208</v>
      </c>
      <c r="J4" s="2">
        <v>7.5450598610000004</v>
      </c>
      <c r="K4" s="15">
        <v>16109808</v>
      </c>
    </row>
    <row r="5" spans="1:11">
      <c r="A5" s="1">
        <v>8667</v>
      </c>
      <c r="B5" s="2">
        <v>-9.9106710607195794</v>
      </c>
      <c r="C5" s="2">
        <v>22.565378083491002</v>
      </c>
      <c r="D5" s="2">
        <v>2.7650096736065</v>
      </c>
      <c r="E5" s="2">
        <v>-4.1406670419669096</v>
      </c>
      <c r="F5" s="2">
        <v>-10.461998856897999</v>
      </c>
      <c r="G5" s="2">
        <v>-1.06466324332791</v>
      </c>
      <c r="H5" s="2">
        <v>19.8956353112183</v>
      </c>
      <c r="J5" s="2">
        <v>9.2625255729999996</v>
      </c>
      <c r="K5" s="15">
        <v>14446494</v>
      </c>
    </row>
    <row r="6" spans="1:11">
      <c r="A6" s="1">
        <v>9160</v>
      </c>
      <c r="B6" s="2">
        <v>-3.68415344029665</v>
      </c>
      <c r="C6" s="2">
        <v>16.371753509248201</v>
      </c>
      <c r="D6" s="2">
        <v>-8.0336094512205095E-2</v>
      </c>
      <c r="E6" s="2">
        <v>1.45938797026324</v>
      </c>
      <c r="F6" s="2">
        <v>-8.7951030974946001</v>
      </c>
      <c r="G6" s="2">
        <v>-0.67120733941365496</v>
      </c>
      <c r="H6" s="2">
        <v>17.309104806173998</v>
      </c>
      <c r="J6" s="2">
        <v>3.9129671589999999</v>
      </c>
      <c r="K6" s="15">
        <v>14818253</v>
      </c>
    </row>
    <row r="7" spans="1:11">
      <c r="A7" s="1">
        <v>8950</v>
      </c>
      <c r="B7" s="2">
        <v>-2.3927408146192302</v>
      </c>
      <c r="C7" s="2">
        <v>5.6145458477613497</v>
      </c>
      <c r="D7" s="2">
        <v>8.7832775504830103</v>
      </c>
      <c r="E7" s="2">
        <v>0.106645383805898</v>
      </c>
      <c r="F7" s="2">
        <v>-7.3881105604638204</v>
      </c>
      <c r="G7" s="2">
        <v>0.50682762613530496</v>
      </c>
      <c r="H7" s="2">
        <v>20.571961708477598</v>
      </c>
      <c r="J7" s="2">
        <v>8.0384489949999995</v>
      </c>
      <c r="K7" s="15">
        <v>15406990</v>
      </c>
    </row>
    <row r="8" spans="1:11">
      <c r="A8" s="1">
        <v>9229</v>
      </c>
      <c r="B8" s="2">
        <v>-5.3251007951125997</v>
      </c>
      <c r="C8" s="2">
        <v>2.5895303716396301</v>
      </c>
      <c r="D8" s="2">
        <v>-4.4273637032820501</v>
      </c>
      <c r="E8" s="2">
        <v>-2.4654694052570698</v>
      </c>
      <c r="F8" s="2">
        <v>-11.916932069377401</v>
      </c>
      <c r="G8" s="2">
        <v>1.50843781927821</v>
      </c>
      <c r="H8" s="2">
        <v>14.986342183501099</v>
      </c>
      <c r="J8" s="2">
        <v>13.50188187</v>
      </c>
      <c r="K8" s="15">
        <v>19872316</v>
      </c>
    </row>
    <row r="9" spans="1:11">
      <c r="A9" s="1">
        <v>9242</v>
      </c>
      <c r="B9" s="2">
        <v>-7.3597263766781102</v>
      </c>
      <c r="C9" s="2">
        <v>12.7319745055146</v>
      </c>
      <c r="D9" s="2">
        <v>-2.3360899959713199</v>
      </c>
      <c r="E9" s="2">
        <v>-3.98919150985913</v>
      </c>
      <c r="F9" s="2">
        <v>-13.7794065865512</v>
      </c>
      <c r="G9" s="2">
        <v>1.63704002651781</v>
      </c>
      <c r="H9" s="2">
        <v>16.636433029370099</v>
      </c>
      <c r="J9" s="2">
        <v>13.75921978</v>
      </c>
      <c r="K9" s="15">
        <v>21649063</v>
      </c>
    </row>
    <row r="10" spans="1:11">
      <c r="A10" s="1">
        <v>9195</v>
      </c>
      <c r="B10" s="2">
        <v>1.91172024195873</v>
      </c>
      <c r="C10" s="2">
        <v>10.5477895460126</v>
      </c>
      <c r="D10" s="2">
        <v>7.4223612221425403</v>
      </c>
      <c r="E10" s="2">
        <v>2.6200589200089199</v>
      </c>
      <c r="F10" s="2">
        <v>-6.5575002193322698</v>
      </c>
      <c r="G10" s="2">
        <v>1.8718506936870101</v>
      </c>
      <c r="H10" s="2">
        <v>21.252999012747399</v>
      </c>
      <c r="J10" s="2">
        <v>8.5831371090000008</v>
      </c>
      <c r="K10" s="15">
        <v>16055024</v>
      </c>
    </row>
    <row r="11" spans="1:11">
      <c r="A11" s="1">
        <v>8553</v>
      </c>
      <c r="B11" s="2">
        <v>-2.5656529555128902</v>
      </c>
      <c r="C11" s="2">
        <v>11.009578860377699</v>
      </c>
      <c r="D11" s="2">
        <v>-1.65252189886732</v>
      </c>
      <c r="E11" s="2">
        <v>-3.42609390295488</v>
      </c>
      <c r="F11" s="2">
        <v>-5.7683726121526</v>
      </c>
      <c r="G11" s="2">
        <v>2.0694359575329901</v>
      </c>
      <c r="H11" s="2">
        <v>20.423474130811101</v>
      </c>
      <c r="J11" s="2">
        <v>15.20111462</v>
      </c>
      <c r="K11" s="15">
        <v>15411628</v>
      </c>
    </row>
    <row r="12" spans="1:11">
      <c r="A12" s="1">
        <v>8901</v>
      </c>
      <c r="B12" s="2">
        <v>-1.6425491549378</v>
      </c>
      <c r="C12" s="2">
        <v>10.317951399541601</v>
      </c>
      <c r="D12" s="2">
        <v>2.2399859681356098</v>
      </c>
      <c r="E12" s="2">
        <v>-0.73579281156599996</v>
      </c>
      <c r="F12" s="2">
        <v>-10.485313258404499</v>
      </c>
      <c r="G12" s="2">
        <v>2.2830542893722998</v>
      </c>
      <c r="H12" s="2">
        <v>18.098672261849501</v>
      </c>
      <c r="J12" s="2">
        <v>9.8073054679999991</v>
      </c>
      <c r="K12" s="15">
        <v>15842807</v>
      </c>
    </row>
    <row r="13" spans="1:11">
      <c r="A13" s="1">
        <v>8777</v>
      </c>
      <c r="B13" s="2">
        <v>3.3652718967144302</v>
      </c>
      <c r="C13" s="2">
        <v>24.066734985203802</v>
      </c>
      <c r="D13" s="2">
        <v>-1.53041934762314</v>
      </c>
      <c r="E13" s="2">
        <v>1.95499194717431</v>
      </c>
      <c r="F13" s="2">
        <v>-9.7497273474638195</v>
      </c>
      <c r="G13" s="2">
        <v>2.6539899508206002</v>
      </c>
      <c r="H13" s="2">
        <v>9.9632249111700393</v>
      </c>
      <c r="J13" s="2">
        <v>14.97239802</v>
      </c>
      <c r="K13" s="15">
        <v>16097582</v>
      </c>
    </row>
    <row r="14" spans="1:11">
      <c r="A14" s="1">
        <v>8816</v>
      </c>
      <c r="B14" s="2">
        <v>3.3711171040789298</v>
      </c>
      <c r="C14" s="2">
        <v>2.7775532233901901</v>
      </c>
      <c r="D14" s="2">
        <v>3.3433797883417902</v>
      </c>
      <c r="E14" s="2">
        <v>1.7720825390144901</v>
      </c>
      <c r="F14" s="2">
        <v>-4.7934607523379498</v>
      </c>
      <c r="G14" s="2">
        <v>2.7683651434244001</v>
      </c>
      <c r="H14" s="2">
        <v>13.424791049322399</v>
      </c>
      <c r="J14" s="2">
        <v>11.12207109</v>
      </c>
      <c r="K14" s="15">
        <v>15595554</v>
      </c>
    </row>
    <row r="15" spans="1:11">
      <c r="A15" s="1">
        <v>8547</v>
      </c>
      <c r="B15" s="2">
        <v>-0.64355830307374595</v>
      </c>
      <c r="C15" s="2">
        <v>7.8431007638840002</v>
      </c>
      <c r="D15" s="2">
        <v>13.514974838477601</v>
      </c>
      <c r="E15" s="2">
        <v>-0.100331173444346</v>
      </c>
      <c r="F15" s="2">
        <v>-4.6796031550179</v>
      </c>
      <c r="G15" s="2">
        <v>3.0052607919546701</v>
      </c>
      <c r="H15" s="2">
        <v>18.3753726121905</v>
      </c>
      <c r="J15" s="2">
        <v>9.4880049080000006</v>
      </c>
      <c r="K15" s="15">
        <v>16536878</v>
      </c>
    </row>
    <row r="16" spans="1:11">
      <c r="A16" s="1">
        <v>8903</v>
      </c>
      <c r="B16" s="2">
        <v>2.5423318625690601</v>
      </c>
      <c r="C16" s="2">
        <v>6.3575052212178802</v>
      </c>
      <c r="D16" s="2">
        <v>5.2968673818928904</v>
      </c>
      <c r="E16" s="2">
        <v>-3.54204297092625</v>
      </c>
      <c r="F16" s="2">
        <v>-7.9850543436556896</v>
      </c>
      <c r="G16" s="2">
        <v>3.2097031347845801</v>
      </c>
      <c r="H16" s="2">
        <v>14.8671374019585</v>
      </c>
      <c r="J16" s="2">
        <v>12.83027656</v>
      </c>
      <c r="K16" s="15">
        <v>18574124</v>
      </c>
    </row>
    <row r="17" spans="1:11">
      <c r="A17" s="1">
        <v>8941</v>
      </c>
      <c r="B17" s="2">
        <v>1.6131249757433499</v>
      </c>
      <c r="C17" s="2">
        <v>21.782524954646501</v>
      </c>
      <c r="D17" s="2">
        <v>-5.5755870030557197</v>
      </c>
      <c r="E17" s="2">
        <v>5.2088072774245697</v>
      </c>
      <c r="F17" s="2">
        <v>-2.76620971852986</v>
      </c>
      <c r="G17" s="2">
        <v>3.6596341086923001</v>
      </c>
      <c r="H17" s="2">
        <v>19.8382962632414</v>
      </c>
      <c r="J17" s="2">
        <v>11.8734091</v>
      </c>
      <c r="K17" s="15">
        <v>12566523</v>
      </c>
    </row>
    <row r="18" spans="1:11">
      <c r="A18" s="1">
        <v>8736</v>
      </c>
      <c r="B18" s="2">
        <v>-3.2079036268313499</v>
      </c>
      <c r="C18" s="2">
        <v>9.0551896277528403</v>
      </c>
      <c r="D18" s="2">
        <v>-4.7300977427626396</v>
      </c>
      <c r="E18" s="2">
        <v>-2.9722763132169798</v>
      </c>
      <c r="F18" s="2">
        <v>-2.7163624686707202</v>
      </c>
      <c r="G18" s="2">
        <v>4.2980073699378902</v>
      </c>
      <c r="H18" s="2">
        <v>19.909581241883501</v>
      </c>
      <c r="J18" s="2">
        <v>11.55241691</v>
      </c>
      <c r="K18" s="15">
        <v>17042263</v>
      </c>
    </row>
    <row r="19" spans="1:11">
      <c r="A19" s="1">
        <v>8868</v>
      </c>
      <c r="B19" s="2">
        <v>3.2169918786956901</v>
      </c>
      <c r="C19" s="2">
        <v>19.4246930155842</v>
      </c>
      <c r="D19" s="2">
        <v>2.1924539387434798</v>
      </c>
      <c r="E19" s="2">
        <v>2.0770403377090898</v>
      </c>
      <c r="F19" s="2">
        <v>-8.4912736970618692</v>
      </c>
      <c r="G19" s="2">
        <v>4.3612414884225403</v>
      </c>
      <c r="H19" s="2">
        <v>16.5700162798531</v>
      </c>
      <c r="J19" s="2">
        <v>15.86079322</v>
      </c>
      <c r="K19" s="15">
        <v>15995370</v>
      </c>
    </row>
    <row r="20" spans="1:11">
      <c r="A20" s="1">
        <v>9109</v>
      </c>
      <c r="B20" s="2">
        <v>2.0981248078841199</v>
      </c>
      <c r="C20" s="2">
        <v>2.1460143455867602</v>
      </c>
      <c r="D20" s="2">
        <v>-6.2745709082217296</v>
      </c>
      <c r="E20" s="2">
        <v>-0.83913772044041901</v>
      </c>
      <c r="F20" s="2">
        <v>-15.7396167849238</v>
      </c>
      <c r="G20" s="2">
        <v>4.47035176157598</v>
      </c>
      <c r="H20" s="2">
        <v>22.779240593541001</v>
      </c>
      <c r="J20" s="2">
        <v>12.620323450000001</v>
      </c>
      <c r="K20" s="15">
        <v>17442380</v>
      </c>
    </row>
    <row r="21" spans="1:11">
      <c r="A21" s="1">
        <v>8949</v>
      </c>
      <c r="B21" s="2">
        <v>3.4946650568492399</v>
      </c>
      <c r="C21" s="2">
        <v>9.2357284149191496</v>
      </c>
      <c r="D21" s="2">
        <v>-5.1868213434572104</v>
      </c>
      <c r="E21" s="2">
        <v>5.8964073143651197</v>
      </c>
      <c r="F21" s="2">
        <v>-11.412835630824899</v>
      </c>
      <c r="G21" s="2">
        <v>4.9167026203812201</v>
      </c>
      <c r="H21" s="2">
        <v>18.278775079724401</v>
      </c>
      <c r="J21" s="2">
        <v>14.918561889999999</v>
      </c>
      <c r="K21" s="15">
        <v>17405610</v>
      </c>
    </row>
    <row r="22" spans="1:11">
      <c r="A22" s="1">
        <v>8872</v>
      </c>
      <c r="B22" s="2">
        <v>-3.35180704230376</v>
      </c>
      <c r="C22" s="2">
        <v>10.075988360858201</v>
      </c>
      <c r="D22" s="2">
        <v>0.36270234860654699</v>
      </c>
      <c r="E22" s="2">
        <v>1.21801510788595</v>
      </c>
      <c r="F22" s="2">
        <v>-7.5506463984634999</v>
      </c>
      <c r="G22" s="2">
        <v>5.1666994755640001</v>
      </c>
      <c r="H22" s="2">
        <v>19.787758734609799</v>
      </c>
      <c r="J22" s="2">
        <v>12.27337391</v>
      </c>
      <c r="K22" s="15">
        <v>14550319</v>
      </c>
    </row>
    <row r="23" spans="1:11">
      <c r="A23" s="1">
        <v>9238</v>
      </c>
      <c r="B23" s="2">
        <v>3.3509862622672699</v>
      </c>
      <c r="C23" s="2">
        <v>10.344147071000799</v>
      </c>
      <c r="D23" s="2">
        <v>4.6745871199334502E-2</v>
      </c>
      <c r="E23" s="2">
        <v>4.94809643577958</v>
      </c>
      <c r="F23" s="2">
        <v>-4.8059272519074598</v>
      </c>
      <c r="G23" s="2">
        <v>5.3388883828796203</v>
      </c>
      <c r="H23" s="2">
        <v>20.0426472757438</v>
      </c>
      <c r="J23" s="2">
        <v>18.488434389999998</v>
      </c>
      <c r="K23" s="15">
        <v>14458283</v>
      </c>
    </row>
    <row r="24" spans="1:11">
      <c r="A24" s="1">
        <v>9100</v>
      </c>
      <c r="B24" s="2">
        <v>0.39938349785885002</v>
      </c>
      <c r="C24" s="2">
        <v>21.154890532088199</v>
      </c>
      <c r="D24" s="2">
        <v>-3.39702263133336</v>
      </c>
      <c r="E24" s="2">
        <v>7.2442568367046603</v>
      </c>
      <c r="F24" s="2">
        <v>-13.572811022831701</v>
      </c>
      <c r="G24" s="2">
        <v>5.84142355135236</v>
      </c>
      <c r="H24" s="2">
        <v>10.7323821968315</v>
      </c>
      <c r="J24" s="2">
        <v>11.312696389999999</v>
      </c>
      <c r="K24" s="15">
        <v>18658434</v>
      </c>
    </row>
    <row r="25" spans="1:11">
      <c r="A25" s="1">
        <v>9018</v>
      </c>
      <c r="B25" s="2">
        <v>6.1227282257898699</v>
      </c>
      <c r="C25" s="2">
        <v>13.1711043978592</v>
      </c>
      <c r="D25" s="2">
        <v>1.5740576555339201</v>
      </c>
      <c r="E25" s="2">
        <v>1.1457121259805101</v>
      </c>
      <c r="F25" s="2">
        <v>-18.8895960381168</v>
      </c>
      <c r="G25" s="2">
        <v>5.8821741690782101</v>
      </c>
      <c r="H25" s="2">
        <v>8.8284504148828393</v>
      </c>
      <c r="J25" s="2">
        <v>12.925828940000001</v>
      </c>
      <c r="K25" s="15">
        <v>12634669</v>
      </c>
    </row>
    <row r="26" spans="1:11">
      <c r="A26" s="1">
        <v>9087</v>
      </c>
      <c r="B26" s="2">
        <v>6.1481132595560801</v>
      </c>
      <c r="C26" s="2">
        <v>10.674515353336499</v>
      </c>
      <c r="D26" s="2">
        <v>-3.1655817832106501</v>
      </c>
      <c r="E26" s="2">
        <v>3.1563335638481398</v>
      </c>
      <c r="F26" s="2">
        <v>-7.6195225769519404</v>
      </c>
      <c r="G26" s="2">
        <v>8.4302091843338793</v>
      </c>
      <c r="H26" s="2">
        <v>9.2839687170906906</v>
      </c>
      <c r="J26" s="2">
        <v>16.093202120000001</v>
      </c>
      <c r="K26" s="15">
        <v>17359368</v>
      </c>
    </row>
    <row r="27" spans="1:11">
      <c r="A27" s="1">
        <v>8715</v>
      </c>
      <c r="B27" s="2">
        <v>1.3184367631007801</v>
      </c>
      <c r="C27" s="2">
        <v>5.3543993335844098</v>
      </c>
      <c r="D27" s="2">
        <v>-1.3156129694371499</v>
      </c>
      <c r="E27" s="2">
        <v>5.9234825979355001</v>
      </c>
      <c r="F27" s="2">
        <v>-9.2173049869062993</v>
      </c>
      <c r="G27" s="2">
        <v>12.4965122828222</v>
      </c>
      <c r="H27" s="2">
        <v>11.1495736956697</v>
      </c>
      <c r="J27" s="2">
        <v>23.44237124</v>
      </c>
      <c r="K27" s="15">
        <v>12130197</v>
      </c>
    </row>
    <row r="34" spans="1:8">
      <c r="A34"/>
      <c r="B34" s="2"/>
      <c r="C34" s="2"/>
      <c r="D34" s="2"/>
      <c r="E34" s="2"/>
      <c r="F34" s="2"/>
      <c r="G34" s="2"/>
      <c r="H34" s="2"/>
    </row>
    <row r="35" spans="1:8">
      <c r="A35"/>
      <c r="B35" s="2"/>
      <c r="C35" s="2"/>
      <c r="D35" s="2"/>
      <c r="E35" s="2"/>
      <c r="F35" s="2"/>
      <c r="G35" s="2"/>
      <c r="H35" s="2"/>
    </row>
    <row r="36" spans="1:8">
      <c r="A36"/>
      <c r="B36" s="2"/>
      <c r="C36" s="2"/>
      <c r="D36" s="2"/>
      <c r="E36" s="2"/>
      <c r="F36" s="2"/>
      <c r="G36" s="2"/>
      <c r="H36" s="2"/>
    </row>
  </sheetData>
  <sortState xmlns:xlrd2="http://schemas.microsoft.com/office/spreadsheetml/2017/richdata2" ref="A2:K36">
    <sortCondition ref="G2:G36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zoomScaleNormal="100" workbookViewId="0"/>
  </sheetViews>
  <sheetFormatPr defaultColWidth="9.3984375" defaultRowHeight="11.25"/>
  <cols>
    <col min="1" max="1" width="9.3984375" style="6"/>
    <col min="2" max="2" width="10.19921875" style="4" bestFit="1" customWidth="1"/>
    <col min="3" max="4" width="6.59765625" style="4" bestFit="1" customWidth="1"/>
    <col min="5" max="5" width="7.19921875" style="4" bestFit="1" customWidth="1"/>
    <col min="6" max="6" width="8" style="4" bestFit="1" customWidth="1"/>
    <col min="7" max="7" width="9.59765625" style="4" bestFit="1" customWidth="1"/>
    <col min="8" max="8" width="6.3984375" style="4" bestFit="1" customWidth="1"/>
    <col min="9" max="9" width="9.3984375" style="4"/>
    <col min="10" max="10" width="24.19921875" style="4" bestFit="1" customWidth="1"/>
    <col min="11" max="11" width="14.796875" style="24" bestFit="1" customWidth="1"/>
    <col min="12" max="16384" width="9.3984375" style="4"/>
  </cols>
  <sheetData>
    <row r="1" spans="1:1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/>
      <c r="J1" s="9" t="s">
        <v>45</v>
      </c>
      <c r="K1" s="23" t="s">
        <v>44</v>
      </c>
    </row>
    <row r="2" spans="1:11">
      <c r="A2" s="26" t="s">
        <v>46</v>
      </c>
      <c r="B2" s="5">
        <v>-5.8786666992357404</v>
      </c>
      <c r="C2" s="5">
        <v>3.52947897479467</v>
      </c>
      <c r="D2" s="5">
        <v>-6.31080536571113</v>
      </c>
      <c r="E2" s="5">
        <v>-0.55652478510018</v>
      </c>
      <c r="F2" s="5">
        <v>-12.2171033098354</v>
      </c>
      <c r="G2" s="5">
        <v>-6.0072940988072796</v>
      </c>
      <c r="H2" s="5">
        <v>11.9873238586582</v>
      </c>
      <c r="J2" s="5">
        <v>11.573399999999999</v>
      </c>
      <c r="K2" s="24">
        <v>22870613</v>
      </c>
    </row>
    <row r="3" spans="1:11">
      <c r="A3" s="17" t="s">
        <v>47</v>
      </c>
      <c r="B3" s="5">
        <v>2.69592623991264</v>
      </c>
      <c r="C3" s="5">
        <v>14.9488865792393</v>
      </c>
      <c r="D3" s="5">
        <v>-0.112244089987939</v>
      </c>
      <c r="E3" s="5">
        <v>0.90084455323258805</v>
      </c>
      <c r="F3" s="5">
        <v>-6.1654050175149298</v>
      </c>
      <c r="G3" s="5">
        <v>-1.8149315745193599</v>
      </c>
      <c r="H3" s="5">
        <v>15.9192414788038</v>
      </c>
      <c r="J3" s="13">
        <v>2.5686000000000035</v>
      </c>
      <c r="K3" s="24">
        <v>17852910</v>
      </c>
    </row>
    <row r="4" spans="1:11">
      <c r="A4" s="17" t="s">
        <v>48</v>
      </c>
      <c r="B4" s="5">
        <v>0.85189196439034698</v>
      </c>
      <c r="C4" s="5">
        <v>3.3770406732101299</v>
      </c>
      <c r="D4" s="5">
        <v>4.5213668459522003</v>
      </c>
      <c r="E4" s="5">
        <v>-3.4462051341416502</v>
      </c>
      <c r="F4" s="5">
        <v>-12.7551101336863</v>
      </c>
      <c r="G4" s="5">
        <v>-6.8956494523000096</v>
      </c>
      <c r="H4" s="5">
        <v>21.795944738841001</v>
      </c>
      <c r="J4" s="5">
        <v>5.2895000000000039</v>
      </c>
      <c r="K4" s="24">
        <v>21777950</v>
      </c>
    </row>
    <row r="5" spans="1:11">
      <c r="A5" s="17" t="s">
        <v>49</v>
      </c>
      <c r="B5" s="5">
        <v>6.1783892742283504</v>
      </c>
      <c r="C5" s="5">
        <v>11.672152656595401</v>
      </c>
      <c r="D5" s="5">
        <v>-3.76122143220022</v>
      </c>
      <c r="E5" s="5">
        <v>-3.8522801016602601</v>
      </c>
      <c r="F5" s="5">
        <v>-10.9601519209521</v>
      </c>
      <c r="G5" s="5">
        <v>-6.85011238772978</v>
      </c>
      <c r="H5" s="5">
        <v>17.6114079299971</v>
      </c>
      <c r="J5" s="5">
        <v>23.659469142140949</v>
      </c>
      <c r="K5" s="24">
        <v>18266574</v>
      </c>
    </row>
    <row r="6" spans="1:11">
      <c r="A6" s="17" t="s">
        <v>50</v>
      </c>
      <c r="B6" s="5">
        <v>-3.9662873561796301</v>
      </c>
      <c r="C6" s="5">
        <v>6.57757169925054</v>
      </c>
      <c r="D6" s="5">
        <v>-10.348619795276299</v>
      </c>
      <c r="E6" s="5">
        <v>-3.3357893224740298</v>
      </c>
      <c r="F6" s="5">
        <v>-6.3118597045026101</v>
      </c>
      <c r="G6" s="5">
        <v>-3.5416742115893398</v>
      </c>
      <c r="H6" s="5">
        <v>14.3106591434438</v>
      </c>
      <c r="J6" s="5">
        <v>3.307699999999997</v>
      </c>
      <c r="K6" s="24">
        <v>20305050</v>
      </c>
    </row>
    <row r="7" spans="1:11">
      <c r="A7" s="17" t="s">
        <v>51</v>
      </c>
      <c r="B7" s="5">
        <v>-4.94806634722016</v>
      </c>
      <c r="C7" s="5">
        <v>3.4069525185750802</v>
      </c>
      <c r="D7" s="5">
        <v>-5.7198147090844298</v>
      </c>
      <c r="E7" s="5">
        <v>-1.9070073142955</v>
      </c>
      <c r="F7" s="5">
        <v>-9.8497455884860301</v>
      </c>
      <c r="G7" s="5">
        <v>-2.26514037039016</v>
      </c>
      <c r="H7" s="5">
        <v>14.5981688680057</v>
      </c>
      <c r="J7" s="5">
        <v>2.6069999999999993</v>
      </c>
      <c r="K7" s="24">
        <v>23833868</v>
      </c>
    </row>
    <row r="8" spans="1:11">
      <c r="A8" s="17" t="s">
        <v>52</v>
      </c>
      <c r="B8" s="5">
        <v>4.8850950174019401</v>
      </c>
      <c r="C8" s="5">
        <v>26.385693975252199</v>
      </c>
      <c r="D8" s="5">
        <v>-0.34529285143619898</v>
      </c>
      <c r="E8" s="5">
        <v>-0.15527232546099901</v>
      </c>
      <c r="F8" s="5">
        <v>-6.1082596256729902</v>
      </c>
      <c r="G8" s="5">
        <v>-6.7499210429991496</v>
      </c>
      <c r="H8" s="5">
        <v>13.9935578337622</v>
      </c>
      <c r="J8" s="5">
        <v>39.935099999999998</v>
      </c>
      <c r="K8" s="24">
        <v>17097005</v>
      </c>
    </row>
    <row r="9" spans="1:11">
      <c r="A9" s="17" t="s">
        <v>53</v>
      </c>
      <c r="B9" s="5">
        <v>-3.35448056170463</v>
      </c>
      <c r="C9" s="5">
        <v>3.1899202815786798</v>
      </c>
      <c r="D9" s="5">
        <v>-5.4059879151223802</v>
      </c>
      <c r="E9" s="5">
        <v>1.0776807991894699</v>
      </c>
      <c r="F9" s="5">
        <v>-4.0847442828385301</v>
      </c>
      <c r="G9" s="5">
        <v>-2.3271366619459299</v>
      </c>
      <c r="H9" s="5">
        <v>18.684537650053102</v>
      </c>
      <c r="J9" s="5">
        <v>4.7502875315791817</v>
      </c>
      <c r="K9" s="24">
        <v>20258213</v>
      </c>
    </row>
    <row r="10" spans="1:11">
      <c r="A10" s="17" t="s">
        <v>54</v>
      </c>
      <c r="B10" s="5">
        <v>-5.2087148448906904</v>
      </c>
      <c r="C10" s="5">
        <v>1.8986021020659201</v>
      </c>
      <c r="D10" s="5">
        <v>-0.78708380214635598</v>
      </c>
      <c r="E10" s="5">
        <v>1.8095068202873399</v>
      </c>
      <c r="F10" s="5">
        <v>-3.6351101636172398</v>
      </c>
      <c r="G10" s="5">
        <v>-4.3160071223486502</v>
      </c>
      <c r="H10" s="5">
        <v>27.474353421937099</v>
      </c>
      <c r="J10" s="5">
        <v>1.7647999999999939</v>
      </c>
      <c r="K10" s="24">
        <v>21078640</v>
      </c>
    </row>
    <row r="11" spans="1:11">
      <c r="A11" s="17" t="s">
        <v>55</v>
      </c>
      <c r="B11" s="5">
        <v>-2.53078781901212</v>
      </c>
      <c r="C11" s="5">
        <v>13.7514086794106</v>
      </c>
      <c r="D11" s="5">
        <v>-8.8316626964030398</v>
      </c>
      <c r="E11" s="5">
        <v>5.5353821036425499</v>
      </c>
      <c r="F11" s="5">
        <v>-2.2491466269922298</v>
      </c>
      <c r="G11" s="5">
        <v>-2.1884622493788899</v>
      </c>
      <c r="H11" s="5">
        <v>15.6829165117132</v>
      </c>
      <c r="J11" s="5">
        <v>16.517349137931035</v>
      </c>
      <c r="K11" s="24">
        <v>16243151</v>
      </c>
    </row>
    <row r="12" spans="1:11">
      <c r="A12" s="17" t="s">
        <v>56</v>
      </c>
      <c r="B12" s="5">
        <v>11.967399565587</v>
      </c>
      <c r="C12" s="5">
        <v>8.0978802325988699</v>
      </c>
      <c r="D12" s="5">
        <v>-5.9503459503461</v>
      </c>
      <c r="E12" s="5">
        <v>3.2474194278255202</v>
      </c>
      <c r="F12" s="5">
        <v>-10.8098090998747</v>
      </c>
      <c r="G12" s="5">
        <v>-5.3188193468475298</v>
      </c>
      <c r="H12" s="5">
        <v>17.93712607841</v>
      </c>
      <c r="J12" s="5">
        <v>13.4358</v>
      </c>
      <c r="K12" s="24">
        <v>26317920</v>
      </c>
    </row>
    <row r="13" spans="1:11">
      <c r="A13" s="17" t="s">
        <v>57</v>
      </c>
      <c r="B13" s="5">
        <v>0.12640507337894699</v>
      </c>
      <c r="C13" s="5">
        <v>20.429957051903799</v>
      </c>
      <c r="D13" s="5">
        <v>-0.57405611931287104</v>
      </c>
      <c r="E13" s="5">
        <v>1.4705060010025801</v>
      </c>
      <c r="F13" s="5">
        <v>-8.0257237848304008</v>
      </c>
      <c r="G13" s="5">
        <v>-5.2869438147836503</v>
      </c>
      <c r="H13" s="5">
        <v>19.739883610239598</v>
      </c>
      <c r="J13" s="13">
        <v>10.1008</v>
      </c>
      <c r="K13" s="24">
        <v>21851367</v>
      </c>
    </row>
    <row r="14" spans="1:11">
      <c r="A14" s="17" t="s">
        <v>58</v>
      </c>
      <c r="B14" s="5">
        <v>-3.5694393234539099</v>
      </c>
      <c r="C14" s="5">
        <v>1.45445911226983</v>
      </c>
      <c r="D14" s="5">
        <v>-2.3256735250511702</v>
      </c>
      <c r="E14" s="5">
        <v>-1.01428290354366</v>
      </c>
      <c r="F14" s="5">
        <v>-6.9634606693288399</v>
      </c>
      <c r="G14" s="5">
        <v>-2.1086125823000801</v>
      </c>
      <c r="H14" s="5">
        <v>20.4551816729103</v>
      </c>
      <c r="J14" s="5">
        <v>2.1487000000000052</v>
      </c>
      <c r="K14" s="24">
        <v>23920917</v>
      </c>
    </row>
    <row r="15" spans="1:11">
      <c r="A15" s="17" t="s">
        <v>59</v>
      </c>
      <c r="B15" s="5">
        <v>4.6820304798199901</v>
      </c>
      <c r="C15" s="5">
        <v>15.3916076067557</v>
      </c>
      <c r="D15" s="5">
        <v>-1.23110567533286</v>
      </c>
      <c r="E15" s="5">
        <v>2.8093367910190099</v>
      </c>
      <c r="F15" s="5">
        <v>-3.8310802358257101</v>
      </c>
      <c r="G15" s="5">
        <v>-3.9468731133098101</v>
      </c>
      <c r="H15" s="5">
        <v>20.914685635211399</v>
      </c>
      <c r="J15" s="5">
        <v>18.404199999999999</v>
      </c>
      <c r="K15" s="24">
        <v>23602480</v>
      </c>
    </row>
    <row r="16" spans="1:11">
      <c r="A16" s="17"/>
    </row>
    <row r="18" spans="1:8">
      <c r="A18" s="26"/>
      <c r="B18" s="5"/>
      <c r="C18" s="5"/>
      <c r="D18" s="5"/>
      <c r="E18" s="5"/>
      <c r="F18" s="5"/>
      <c r="G18" s="5"/>
      <c r="H18" s="5"/>
    </row>
    <row r="19" spans="1:8">
      <c r="A19" s="26"/>
      <c r="B19" s="5"/>
      <c r="C19" s="5"/>
      <c r="D19" s="5"/>
      <c r="E19" s="5"/>
      <c r="F19" s="5"/>
      <c r="G19" s="5"/>
      <c r="H19" s="5"/>
    </row>
    <row r="20" spans="1:8">
      <c r="A20" s="26"/>
      <c r="B20" s="5"/>
      <c r="C20" s="5"/>
      <c r="D20" s="5"/>
      <c r="E20" s="5"/>
      <c r="F20" s="5"/>
      <c r="G20" s="5"/>
      <c r="H20" s="5"/>
    </row>
    <row r="28" spans="1:8">
      <c r="A28" s="10"/>
      <c r="B28" s="11"/>
    </row>
    <row r="29" spans="1:8">
      <c r="A29" s="10"/>
      <c r="B29" s="11"/>
    </row>
    <row r="30" spans="1:8">
      <c r="A30" s="10"/>
      <c r="B30" s="11"/>
    </row>
    <row r="31" spans="1:8">
      <c r="A31" s="10"/>
      <c r="B31" s="11"/>
    </row>
    <row r="32" spans="1:8">
      <c r="A32" s="10"/>
      <c r="B32" s="11"/>
    </row>
    <row r="33" spans="1:2">
      <c r="A33" s="10"/>
      <c r="B33" s="11"/>
    </row>
    <row r="34" spans="1:2">
      <c r="A34" s="10"/>
      <c r="B34" s="11"/>
    </row>
    <row r="35" spans="1:2">
      <c r="A35" s="10"/>
      <c r="B35" s="11"/>
    </row>
    <row r="36" spans="1:2">
      <c r="A36" s="10"/>
      <c r="B36" s="11"/>
    </row>
    <row r="37" spans="1:2">
      <c r="A37" s="10"/>
      <c r="B37" s="11"/>
    </row>
    <row r="38" spans="1:2">
      <c r="A38" s="12"/>
      <c r="B38" s="11"/>
    </row>
  </sheetData>
  <sortState xmlns:xlrd2="http://schemas.microsoft.com/office/spreadsheetml/2017/richdata2" ref="A2:K15">
    <sortCondition ref="A2:A15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6"/>
  <sheetViews>
    <sheetView zoomScaleNormal="100" workbookViewId="0"/>
  </sheetViews>
  <sheetFormatPr defaultColWidth="9.3984375" defaultRowHeight="11.25"/>
  <cols>
    <col min="1" max="1" width="8.59765625" style="6" bestFit="1" customWidth="1"/>
    <col min="2" max="2" width="10.19921875" style="4" bestFit="1" customWidth="1"/>
    <col min="3" max="4" width="6.59765625" style="4" bestFit="1" customWidth="1"/>
    <col min="5" max="5" width="7.19921875" style="4" bestFit="1" customWidth="1"/>
    <col min="6" max="6" width="8" style="4" bestFit="1" customWidth="1"/>
    <col min="7" max="7" width="9.59765625" style="4" bestFit="1" customWidth="1"/>
    <col min="8" max="8" width="6.3984375" style="4" bestFit="1" customWidth="1"/>
    <col min="9" max="9" width="9.3984375" style="4"/>
    <col min="10" max="10" width="25" style="4" bestFit="1" customWidth="1"/>
    <col min="11" max="11" width="21" style="4" bestFit="1" customWidth="1"/>
    <col min="12" max="16384" width="9.3984375" style="4"/>
  </cols>
  <sheetData>
    <row r="1" spans="1:1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J1" s="9" t="s">
        <v>60</v>
      </c>
      <c r="K1" s="9" t="s">
        <v>61</v>
      </c>
    </row>
    <row r="2" spans="1:11">
      <c r="A2" s="19" t="s">
        <v>62</v>
      </c>
      <c r="B2" s="20">
        <v>-0.23871985721484601</v>
      </c>
      <c r="C2" s="20">
        <v>11.9711599999738</v>
      </c>
      <c r="D2" s="20">
        <v>-3.19370917020191</v>
      </c>
      <c r="E2" s="20">
        <v>1.1689005755332</v>
      </c>
      <c r="F2" s="20">
        <v>-13.903019700264</v>
      </c>
      <c r="G2" s="20">
        <v>-4.2999989554745897</v>
      </c>
      <c r="H2" s="20">
        <v>26.4724447051399</v>
      </c>
      <c r="I2" s="21"/>
      <c r="J2" s="22">
        <v>0</v>
      </c>
      <c r="K2" s="21" t="s">
        <v>63</v>
      </c>
    </row>
    <row r="3" spans="1:11">
      <c r="A3" s="19" t="s">
        <v>64</v>
      </c>
      <c r="B3" s="20">
        <v>-1.8576587887698099</v>
      </c>
      <c r="C3" s="20">
        <v>4.3985090588591298</v>
      </c>
      <c r="D3" s="20">
        <v>-3.1816854199036899</v>
      </c>
      <c r="E3" s="20">
        <v>-1.3351179286447601</v>
      </c>
      <c r="F3" s="20">
        <v>-3.6396961950832698</v>
      </c>
      <c r="G3" s="20">
        <v>-0.71513078009178299</v>
      </c>
      <c r="H3" s="20">
        <v>21.807001919422699</v>
      </c>
      <c r="I3" s="21"/>
      <c r="J3" s="22">
        <v>0</v>
      </c>
      <c r="K3" s="21" t="s">
        <v>63</v>
      </c>
    </row>
    <row r="4" spans="1:11">
      <c r="A4" s="19" t="s">
        <v>65</v>
      </c>
      <c r="B4" s="20">
        <v>-1.9553580265675199</v>
      </c>
      <c r="C4" s="20">
        <v>2.4739831183862302</v>
      </c>
      <c r="D4" s="20">
        <v>-9.7860065132042298</v>
      </c>
      <c r="E4" s="20">
        <v>-5.3502145376019401</v>
      </c>
      <c r="F4" s="20">
        <v>-2.9009838455411301</v>
      </c>
      <c r="G4" s="20">
        <v>-2.64654677037979</v>
      </c>
      <c r="H4" s="20">
        <v>17.756013946465998</v>
      </c>
      <c r="I4" s="21"/>
      <c r="J4" s="22">
        <v>0</v>
      </c>
      <c r="K4" s="21" t="s">
        <v>63</v>
      </c>
    </row>
    <row r="5" spans="1:11">
      <c r="A5" s="19" t="s">
        <v>66</v>
      </c>
      <c r="B5" s="20">
        <v>5.4101142989455901</v>
      </c>
      <c r="C5" s="20">
        <v>6.1718426178862797</v>
      </c>
      <c r="D5" s="20">
        <v>-5.3589507329220698</v>
      </c>
      <c r="E5" s="20">
        <v>4.7850877294808098</v>
      </c>
      <c r="F5" s="20">
        <v>-4.6674518117810102</v>
      </c>
      <c r="G5" s="20">
        <v>1.6628273407891601</v>
      </c>
      <c r="H5" s="20">
        <v>25.666747391574599</v>
      </c>
      <c r="I5" s="21"/>
      <c r="J5" s="22">
        <v>0</v>
      </c>
      <c r="K5" s="21" t="s">
        <v>63</v>
      </c>
    </row>
    <row r="6" spans="1:11">
      <c r="A6" s="19" t="s">
        <v>67</v>
      </c>
      <c r="B6" s="20">
        <v>-0.79623966305598504</v>
      </c>
      <c r="C6" s="20">
        <v>5.5859478569054204</v>
      </c>
      <c r="D6" s="20">
        <v>-0.65422981995945395</v>
      </c>
      <c r="E6" s="20">
        <v>3.23098203342539</v>
      </c>
      <c r="F6" s="20">
        <v>-13.5029326350177</v>
      </c>
      <c r="G6" s="20">
        <v>-4.8777850227897099</v>
      </c>
      <c r="H6" s="20">
        <v>25.388483859590099</v>
      </c>
      <c r="I6" s="21"/>
      <c r="J6" s="22">
        <v>0</v>
      </c>
      <c r="K6" s="21" t="s">
        <v>63</v>
      </c>
    </row>
    <row r="7" spans="1:11">
      <c r="A7" s="19" t="s">
        <v>68</v>
      </c>
      <c r="B7" s="20">
        <v>1.12116033917064</v>
      </c>
      <c r="C7" s="20">
        <v>7.5883204439947196</v>
      </c>
      <c r="D7" s="20">
        <v>-7.0154457084379898</v>
      </c>
      <c r="E7" s="20">
        <v>-0.75648995783566897</v>
      </c>
      <c r="F7" s="20">
        <v>-10.217251851422599</v>
      </c>
      <c r="G7" s="20">
        <v>-3.68338019743635</v>
      </c>
      <c r="H7" s="20">
        <v>22.166247543355102</v>
      </c>
      <c r="I7" s="21"/>
      <c r="J7" s="22">
        <v>0</v>
      </c>
      <c r="K7" s="21" t="s">
        <v>63</v>
      </c>
    </row>
    <row r="8" spans="1:11">
      <c r="A8" s="19" t="s">
        <v>69</v>
      </c>
      <c r="B8" s="20">
        <v>3.2890260028952998</v>
      </c>
      <c r="C8" s="20">
        <v>1.17862736934052</v>
      </c>
      <c r="D8" s="20">
        <v>2.2214570485349201</v>
      </c>
      <c r="E8" s="20">
        <v>-5.8340625881062902</v>
      </c>
      <c r="F8" s="20">
        <v>-14.471270295118799</v>
      </c>
      <c r="G8" s="20">
        <v>-5.1330665702847398</v>
      </c>
      <c r="H8" s="20">
        <v>21.7097063199631</v>
      </c>
      <c r="I8" s="21"/>
      <c r="J8" s="22">
        <v>0</v>
      </c>
      <c r="K8" s="21" t="s">
        <v>63</v>
      </c>
    </row>
    <row r="9" spans="1:11">
      <c r="A9" s="19" t="s">
        <v>70</v>
      </c>
      <c r="B9" s="20">
        <v>4.3359058408927096</v>
      </c>
      <c r="C9" s="20">
        <v>8.2783908350220692</v>
      </c>
      <c r="D9" s="20">
        <v>-1.51741651739147</v>
      </c>
      <c r="E9" s="20">
        <v>-2.6212652856186498</v>
      </c>
      <c r="F9" s="20">
        <v>-0.82816132675293397</v>
      </c>
      <c r="G9" s="20">
        <v>-3.4973192937671098</v>
      </c>
      <c r="H9" s="20">
        <v>20.460571884758199</v>
      </c>
      <c r="I9" s="21"/>
      <c r="J9" s="22">
        <v>0</v>
      </c>
      <c r="K9" s="21" t="s">
        <v>63</v>
      </c>
    </row>
    <row r="10" spans="1:11">
      <c r="A10" s="19" t="s">
        <v>71</v>
      </c>
      <c r="B10" s="20">
        <v>0.168709498337904</v>
      </c>
      <c r="C10" s="20">
        <v>8.2791878133708092</v>
      </c>
      <c r="D10" s="20">
        <v>-3.6555917267098699</v>
      </c>
      <c r="E10" s="20">
        <v>1.3540972087001</v>
      </c>
      <c r="F10" s="20">
        <v>-8.1725305961886399</v>
      </c>
      <c r="G10" s="20">
        <v>1.76620279686455</v>
      </c>
      <c r="H10" s="20">
        <v>24.9602321574013</v>
      </c>
      <c r="I10" s="21"/>
      <c r="J10" s="22">
        <v>0</v>
      </c>
      <c r="K10" s="21" t="s">
        <v>63</v>
      </c>
    </row>
    <row r="11" spans="1:11">
      <c r="A11" s="19" t="s">
        <v>72</v>
      </c>
      <c r="B11" s="20">
        <v>4.4376935213607904</v>
      </c>
      <c r="C11" s="20">
        <v>4.4969587495401102</v>
      </c>
      <c r="D11" s="20">
        <v>-3.0912417761672701</v>
      </c>
      <c r="E11" s="20">
        <v>-4.0812795374206399</v>
      </c>
      <c r="F11" s="20">
        <v>-5.2244044748591998</v>
      </c>
      <c r="G11" s="20">
        <v>-4.18224130867591</v>
      </c>
      <c r="H11" s="20">
        <v>21.346965519751599</v>
      </c>
      <c r="I11" s="21"/>
      <c r="J11" s="22">
        <v>0</v>
      </c>
      <c r="K11" s="21" t="s">
        <v>63</v>
      </c>
    </row>
    <row r="12" spans="1:11">
      <c r="A12" s="19" t="s">
        <v>73</v>
      </c>
      <c r="B12" s="20">
        <v>1.0106065886817801</v>
      </c>
      <c r="C12" s="20">
        <v>13.0236117241203</v>
      </c>
      <c r="D12" s="20">
        <v>-4.23502746654012</v>
      </c>
      <c r="E12" s="20">
        <v>-3.5272877168468102</v>
      </c>
      <c r="F12" s="20">
        <v>-9.2601570107781601</v>
      </c>
      <c r="G12" s="20">
        <v>-1.54718791012462</v>
      </c>
      <c r="H12" s="20">
        <v>17.850731432078099</v>
      </c>
      <c r="I12" s="21"/>
      <c r="J12" s="22">
        <v>0</v>
      </c>
      <c r="K12" s="21" t="s">
        <v>63</v>
      </c>
    </row>
    <row r="13" spans="1:11">
      <c r="A13" s="19" t="s">
        <v>74</v>
      </c>
      <c r="B13" s="20">
        <v>-9.9867029153191105</v>
      </c>
      <c r="C13" s="20">
        <v>-4.4637676509041198</v>
      </c>
      <c r="D13" s="20">
        <v>-11.554519496557599</v>
      </c>
      <c r="E13" s="20">
        <v>-2.31175783706863</v>
      </c>
      <c r="F13" s="20">
        <v>-15.615713273921401</v>
      </c>
      <c r="G13" s="20">
        <v>-10.5750922375407</v>
      </c>
      <c r="H13" s="20">
        <v>16.680947921962701</v>
      </c>
      <c r="I13" s="21"/>
      <c r="J13" s="22">
        <v>0</v>
      </c>
      <c r="K13" s="21" t="s">
        <v>63</v>
      </c>
    </row>
    <row r="14" spans="1:11">
      <c r="A14" s="19" t="s">
        <v>75</v>
      </c>
      <c r="B14" s="20">
        <v>-1.61512775009263</v>
      </c>
      <c r="C14" s="20">
        <v>-6.1260067942853897</v>
      </c>
      <c r="D14" s="20">
        <v>-2.18620290149769</v>
      </c>
      <c r="E14" s="20">
        <v>-2.69703627291014</v>
      </c>
      <c r="F14" s="20">
        <v>-6.29995039987665</v>
      </c>
      <c r="G14" s="20">
        <v>-4.2828959531362303</v>
      </c>
      <c r="H14" s="20">
        <v>21.305989234216302</v>
      </c>
      <c r="I14" s="21"/>
      <c r="J14" s="22">
        <v>0</v>
      </c>
      <c r="K14" s="21" t="s">
        <v>63</v>
      </c>
    </row>
    <row r="15" spans="1:11">
      <c r="A15" s="19" t="s">
        <v>76</v>
      </c>
      <c r="B15" s="20">
        <v>-3.0274587585297801</v>
      </c>
      <c r="C15" s="20">
        <v>1.90262653258924</v>
      </c>
      <c r="D15" s="20">
        <v>-0.78999508262560902</v>
      </c>
      <c r="E15" s="20">
        <v>-4.5249270161410804</v>
      </c>
      <c r="F15" s="20">
        <v>-1.5870447031582</v>
      </c>
      <c r="G15" s="20">
        <v>-4.5103776431606697</v>
      </c>
      <c r="H15" s="20">
        <v>20.5770516722067</v>
      </c>
      <c r="I15" s="21"/>
      <c r="J15" s="22">
        <v>0</v>
      </c>
      <c r="K15" s="21" t="s">
        <v>63</v>
      </c>
    </row>
    <row r="16" spans="1:11">
      <c r="A16" s="19" t="s">
        <v>77</v>
      </c>
      <c r="B16" s="20">
        <v>1.4233777187536401</v>
      </c>
      <c r="C16" s="20">
        <v>-2.7950134678307301</v>
      </c>
      <c r="D16" s="20">
        <v>-1.8787677476309701</v>
      </c>
      <c r="E16" s="20">
        <v>-4.1517428114213404</v>
      </c>
      <c r="F16" s="20">
        <v>-5.6890028091751201</v>
      </c>
      <c r="G16" s="20">
        <v>-4.9105599624183496</v>
      </c>
      <c r="H16" s="20">
        <v>18.267934985991602</v>
      </c>
      <c r="I16" s="21"/>
      <c r="J16" s="22">
        <v>0</v>
      </c>
      <c r="K16" s="21" t="s">
        <v>63</v>
      </c>
    </row>
    <row r="17" spans="1:11">
      <c r="A17" s="19" t="s">
        <v>78</v>
      </c>
      <c r="B17" s="20">
        <v>4.3873586584123201</v>
      </c>
      <c r="C17" s="20">
        <v>19.718213078072999</v>
      </c>
      <c r="D17" s="20">
        <v>6.3212758992868601</v>
      </c>
      <c r="E17" s="20">
        <v>-0.17382063806789499</v>
      </c>
      <c r="F17" s="20">
        <v>-6.3583905938159297</v>
      </c>
      <c r="G17" s="20">
        <v>-1.6496144546059699</v>
      </c>
      <c r="H17" s="20">
        <v>24.921248756892901</v>
      </c>
      <c r="I17" s="21"/>
      <c r="J17" s="22">
        <v>0</v>
      </c>
      <c r="K17" s="21" t="s">
        <v>63</v>
      </c>
    </row>
    <row r="18" spans="1:11">
      <c r="A18" s="26" t="s">
        <v>79</v>
      </c>
      <c r="B18" s="5">
        <v>-11.922086763806799</v>
      </c>
      <c r="C18" s="5">
        <v>-8.9018744254616102</v>
      </c>
      <c r="D18" s="5">
        <v>-17.0697620520749</v>
      </c>
      <c r="E18" s="5">
        <v>-7.3268880316485898</v>
      </c>
      <c r="F18" s="5">
        <v>-21.511663175307401</v>
      </c>
      <c r="G18" s="5">
        <v>-14.3644072784726</v>
      </c>
      <c r="H18" s="5">
        <v>10.932993956454</v>
      </c>
      <c r="J18" s="2">
        <v>0.88</v>
      </c>
      <c r="K18" s="4" t="s">
        <v>80</v>
      </c>
    </row>
    <row r="19" spans="1:11">
      <c r="A19" s="26" t="s">
        <v>81</v>
      </c>
      <c r="B19" s="5">
        <v>-6.9531982988657104</v>
      </c>
      <c r="C19" s="5">
        <v>13.125120260584699</v>
      </c>
      <c r="D19" s="5">
        <v>-11.9098366815674</v>
      </c>
      <c r="E19" s="5">
        <v>-11.0284919720565</v>
      </c>
      <c r="F19" s="5">
        <v>-12.3292168784896</v>
      </c>
      <c r="G19" s="5">
        <v>-9.3251299563244192</v>
      </c>
      <c r="H19" s="5">
        <v>17.396592002642201</v>
      </c>
      <c r="J19" s="2">
        <v>0.97</v>
      </c>
      <c r="K19" s="4" t="s">
        <v>80</v>
      </c>
    </row>
    <row r="20" spans="1:11">
      <c r="A20" s="26" t="s">
        <v>82</v>
      </c>
      <c r="B20" s="5">
        <v>7.1049235434228404</v>
      </c>
      <c r="C20" s="5">
        <v>17.860641383149598</v>
      </c>
      <c r="D20" s="5">
        <v>2.2955503486745101</v>
      </c>
      <c r="E20" s="5">
        <v>-0.32261302441935402</v>
      </c>
      <c r="F20" s="5">
        <v>-8.2627910186913294</v>
      </c>
      <c r="G20" s="5">
        <v>0.35377918133116298</v>
      </c>
      <c r="H20" s="5">
        <v>27.558199761362999</v>
      </c>
      <c r="J20" s="2">
        <v>1.01</v>
      </c>
      <c r="K20" s="4" t="s">
        <v>80</v>
      </c>
    </row>
    <row r="21" spans="1:11">
      <c r="A21" s="26" t="s">
        <v>83</v>
      </c>
      <c r="B21" s="5">
        <v>2.4144660066019399</v>
      </c>
      <c r="C21" s="5">
        <v>3.7176341219807498</v>
      </c>
      <c r="D21" s="5">
        <v>-2.2991249305277999E-2</v>
      </c>
      <c r="E21" s="5">
        <v>-1.37954172736872</v>
      </c>
      <c r="F21" s="5">
        <v>-2.9641474959157699</v>
      </c>
      <c r="G21" s="5">
        <v>-0.183639668175232</v>
      </c>
      <c r="H21" s="5">
        <v>23.652173672749001</v>
      </c>
      <c r="J21" s="2">
        <v>1.04</v>
      </c>
      <c r="K21" s="4" t="s">
        <v>80</v>
      </c>
    </row>
    <row r="22" spans="1:11">
      <c r="A22" s="26" t="s">
        <v>84</v>
      </c>
      <c r="B22" s="5">
        <v>-3.10210059973278</v>
      </c>
      <c r="C22" s="5">
        <v>-3.4674433059581999</v>
      </c>
      <c r="D22" s="5">
        <v>-4.7388505266574699</v>
      </c>
      <c r="E22" s="5">
        <v>1.82052493769595</v>
      </c>
      <c r="F22" s="5">
        <v>-11.124257321775101</v>
      </c>
      <c r="G22" s="5">
        <v>-7.3639831201361696</v>
      </c>
      <c r="H22" s="5">
        <v>25.983784958351301</v>
      </c>
      <c r="J22" s="2">
        <v>1.08</v>
      </c>
      <c r="K22" s="4" t="s">
        <v>80</v>
      </c>
    </row>
    <row r="23" spans="1:11">
      <c r="A23" s="26" t="s">
        <v>85</v>
      </c>
      <c r="B23" s="5">
        <v>1.63874703404957</v>
      </c>
      <c r="C23" s="5">
        <v>6.2236457470715196</v>
      </c>
      <c r="D23" s="5">
        <v>-5.0521330771574604</v>
      </c>
      <c r="E23" s="5">
        <v>-1.5866272263578201</v>
      </c>
      <c r="F23" s="5">
        <v>-5.3145220783604801</v>
      </c>
      <c r="G23" s="5">
        <v>-2.4028362770955898</v>
      </c>
      <c r="H23" s="5">
        <v>20.4976590002046</v>
      </c>
      <c r="J23" s="2">
        <v>1.1000000000000001</v>
      </c>
      <c r="K23" s="4" t="s">
        <v>80</v>
      </c>
    </row>
    <row r="24" spans="1:11">
      <c r="A24" s="26" t="s">
        <v>86</v>
      </c>
      <c r="B24" s="5">
        <v>-6.9788288873089597</v>
      </c>
      <c r="C24" s="5">
        <v>-6.4656051591328501</v>
      </c>
      <c r="D24" s="5">
        <v>-13.291248663671899</v>
      </c>
      <c r="E24" s="5">
        <v>-3.9154548517888101</v>
      </c>
      <c r="F24" s="5">
        <v>-18.873206078886898</v>
      </c>
      <c r="G24" s="5">
        <v>-13.7683078310311</v>
      </c>
      <c r="H24" s="5">
        <v>16.1392112673654</v>
      </c>
      <c r="J24" s="2">
        <v>1.1299999999999999</v>
      </c>
      <c r="K24" s="4" t="s">
        <v>80</v>
      </c>
    </row>
    <row r="25" spans="1:11">
      <c r="A25" s="26" t="s">
        <v>87</v>
      </c>
      <c r="B25" s="5">
        <v>0.69550398005810599</v>
      </c>
      <c r="C25" s="5">
        <v>15.3063530073275</v>
      </c>
      <c r="D25" s="5">
        <v>-6.04139138122272</v>
      </c>
      <c r="E25" s="5">
        <v>1.1779429403228501</v>
      </c>
      <c r="F25" s="5">
        <v>-11.5899868325826</v>
      </c>
      <c r="G25" s="5">
        <v>-6.4927917902258203</v>
      </c>
      <c r="H25" s="5">
        <v>18.523760647295902</v>
      </c>
      <c r="J25" s="2">
        <v>1.2</v>
      </c>
      <c r="K25" s="4" t="s">
        <v>80</v>
      </c>
    </row>
    <row r="26" spans="1:11">
      <c r="A26" s="26" t="s">
        <v>88</v>
      </c>
      <c r="B26" s="5">
        <v>4.6888430776531296</v>
      </c>
      <c r="C26" s="5">
        <v>12.472925824588</v>
      </c>
      <c r="D26" s="5">
        <v>-0.84849843610214704</v>
      </c>
      <c r="E26" s="5">
        <v>-1.8205426823555799</v>
      </c>
      <c r="F26" s="5">
        <v>-1.3407830801878</v>
      </c>
      <c r="G26" s="5">
        <v>-2.54274009996118</v>
      </c>
      <c r="H26" s="5">
        <v>23.549401043480099</v>
      </c>
      <c r="J26" s="2">
        <v>1.21</v>
      </c>
      <c r="K26" s="4" t="s">
        <v>80</v>
      </c>
    </row>
    <row r="27" spans="1:11">
      <c r="A27" s="26" t="s">
        <v>89</v>
      </c>
      <c r="B27" s="5">
        <v>4.2966833496919596</v>
      </c>
      <c r="C27" s="5">
        <v>17.898666580529401</v>
      </c>
      <c r="D27" s="5">
        <v>0.86474672681731601</v>
      </c>
      <c r="E27" s="5">
        <v>1.21090552230092</v>
      </c>
      <c r="F27" s="5">
        <v>-4.1118767178051598</v>
      </c>
      <c r="G27" s="5">
        <v>3.2925139106243102</v>
      </c>
      <c r="H27" s="5">
        <v>22.124604394874801</v>
      </c>
      <c r="J27" s="2">
        <v>1.25</v>
      </c>
      <c r="K27" s="4" t="s">
        <v>80</v>
      </c>
    </row>
    <row r="28" spans="1:11">
      <c r="A28" s="26" t="s">
        <v>90</v>
      </c>
      <c r="B28" s="5">
        <v>-1.01693991910744</v>
      </c>
      <c r="C28" s="5">
        <v>3.00070740612344</v>
      </c>
      <c r="D28" s="5">
        <v>-3.74441527167042</v>
      </c>
      <c r="E28" s="5">
        <v>-1.2993167868309301</v>
      </c>
      <c r="F28" s="5">
        <v>-6.9969471037948896</v>
      </c>
      <c r="G28" s="5">
        <v>-4.2715898681593698</v>
      </c>
      <c r="H28" s="5">
        <v>21.0429345156568</v>
      </c>
      <c r="J28" s="2">
        <v>1.3</v>
      </c>
      <c r="K28" s="4" t="s">
        <v>80</v>
      </c>
    </row>
    <row r="29" spans="1:11">
      <c r="A29" s="26" t="s">
        <v>91</v>
      </c>
      <c r="B29" s="5">
        <v>0.29294398661787102</v>
      </c>
      <c r="C29" s="5">
        <v>10.183244473582601</v>
      </c>
      <c r="D29" s="5">
        <v>-2.9206903046925299</v>
      </c>
      <c r="E29" s="5">
        <v>-1.9437898225585599</v>
      </c>
      <c r="F29" s="5">
        <v>-7.4244301458523099</v>
      </c>
      <c r="G29" s="5">
        <v>0.417928870234618</v>
      </c>
      <c r="H29" s="5">
        <v>23.332757966652899</v>
      </c>
      <c r="J29" s="2">
        <v>1.44</v>
      </c>
      <c r="K29" s="4" t="s">
        <v>80</v>
      </c>
    </row>
    <row r="30" spans="1:11">
      <c r="A30" s="26" t="s">
        <v>92</v>
      </c>
      <c r="B30" s="5">
        <v>-9.7920383479630893</v>
      </c>
      <c r="C30" s="5">
        <v>5.2796212605166799</v>
      </c>
      <c r="D30" s="5">
        <v>-7.4973988209027302</v>
      </c>
      <c r="E30" s="5">
        <v>4.9750704718199801</v>
      </c>
      <c r="F30" s="5">
        <v>-6.8370181458267902</v>
      </c>
      <c r="G30" s="5">
        <v>-6.0441891316622796</v>
      </c>
      <c r="H30" s="5">
        <v>13.672591168845299</v>
      </c>
      <c r="J30" s="2">
        <v>1.45</v>
      </c>
      <c r="K30" s="4" t="s">
        <v>80</v>
      </c>
    </row>
    <row r="31" spans="1:11">
      <c r="A31" s="26" t="s">
        <v>93</v>
      </c>
      <c r="B31" s="5">
        <v>0.54934425079187599</v>
      </c>
      <c r="C31" s="5">
        <v>21.6875290638107</v>
      </c>
      <c r="D31" s="5">
        <v>5.0706174376786599</v>
      </c>
      <c r="E31" s="5">
        <v>3.4639240372887898</v>
      </c>
      <c r="F31" s="5">
        <v>1.7779233835102599</v>
      </c>
      <c r="G31" s="5">
        <v>-1.2130325443340799</v>
      </c>
      <c r="H31" s="5">
        <v>23.669355136780201</v>
      </c>
      <c r="J31" s="2">
        <v>1.49</v>
      </c>
      <c r="K31" s="4" t="s">
        <v>80</v>
      </c>
    </row>
    <row r="32" spans="1:11">
      <c r="A32" s="26" t="s">
        <v>94</v>
      </c>
      <c r="B32" s="5">
        <v>-2.0582357221187002</v>
      </c>
      <c r="C32" s="5">
        <v>0.75889467966715096</v>
      </c>
      <c r="D32" s="5">
        <v>-4.8706727353703902</v>
      </c>
      <c r="E32" s="5">
        <v>0.57093449199953705</v>
      </c>
      <c r="F32" s="5">
        <v>-12.399417722000001</v>
      </c>
      <c r="G32" s="5">
        <v>-3.5830788635358002</v>
      </c>
      <c r="H32" s="5">
        <v>19.3982781372655</v>
      </c>
      <c r="J32" s="2">
        <v>1.5</v>
      </c>
      <c r="K32" s="4" t="s">
        <v>80</v>
      </c>
    </row>
    <row r="33" spans="1:11">
      <c r="A33" s="26" t="s">
        <v>95</v>
      </c>
      <c r="B33" s="5">
        <v>-2.2006204419682298</v>
      </c>
      <c r="C33" s="5">
        <v>-2.7733319993366501</v>
      </c>
      <c r="D33" s="5">
        <v>-4.7610119026228102</v>
      </c>
      <c r="E33" s="5">
        <v>-0.868622738051954</v>
      </c>
      <c r="F33" s="5">
        <v>-9.06182392720814</v>
      </c>
      <c r="G33" s="5">
        <v>-9.3489745737014704</v>
      </c>
      <c r="H33" s="5">
        <v>24.335860248023199</v>
      </c>
      <c r="J33" s="2">
        <v>1.53</v>
      </c>
      <c r="K33" s="4" t="s">
        <v>80</v>
      </c>
    </row>
    <row r="34" spans="1:11">
      <c r="A34" s="26" t="s">
        <v>96</v>
      </c>
      <c r="B34" s="5">
        <v>1.1513965581229999</v>
      </c>
      <c r="C34" s="5">
        <v>10.1073540320255</v>
      </c>
      <c r="D34" s="5">
        <v>-0.166547425095075</v>
      </c>
      <c r="E34" s="5">
        <v>9.2598573320511299</v>
      </c>
      <c r="F34" s="5">
        <v>-8.4263036896259393</v>
      </c>
      <c r="G34" s="5">
        <v>-3.7628860907824402</v>
      </c>
      <c r="H34" s="5">
        <v>26.7689683655008</v>
      </c>
      <c r="J34" s="2">
        <v>1.53</v>
      </c>
      <c r="K34" s="4" t="s">
        <v>80</v>
      </c>
    </row>
    <row r="35" spans="1:11">
      <c r="A35" s="26" t="s">
        <v>97</v>
      </c>
      <c r="B35" s="5">
        <v>-1.7184668714517699</v>
      </c>
      <c r="C35" s="5">
        <v>4.6026165369145202</v>
      </c>
      <c r="D35" s="5">
        <v>-9.7025750346490707</v>
      </c>
      <c r="E35" s="5">
        <v>4.3476587938997104</v>
      </c>
      <c r="F35" s="5">
        <v>-12.9871445761604</v>
      </c>
      <c r="G35" s="5">
        <v>-8.2954422975512596</v>
      </c>
      <c r="H35" s="5">
        <v>12.432578469619999</v>
      </c>
      <c r="J35" s="2">
        <v>1.57</v>
      </c>
      <c r="K35" s="4" t="s">
        <v>80</v>
      </c>
    </row>
    <row r="36" spans="1:11">
      <c r="A36" s="26" t="s">
        <v>98</v>
      </c>
      <c r="B36" s="5">
        <v>-5.0589299007706403</v>
      </c>
      <c r="C36" s="5">
        <v>3.3804987193779801</v>
      </c>
      <c r="D36" s="5">
        <v>-7.4931521895651896</v>
      </c>
      <c r="E36" s="5">
        <v>-3.14064643360277</v>
      </c>
      <c r="F36" s="5">
        <v>-12.7625528652959</v>
      </c>
      <c r="G36" s="5">
        <v>-6.8655554877700498</v>
      </c>
      <c r="H36" s="5">
        <v>17.0755788424004</v>
      </c>
      <c r="J36" s="2">
        <v>1.63</v>
      </c>
      <c r="K36" s="4" t="s">
        <v>80</v>
      </c>
    </row>
    <row r="37" spans="1:11">
      <c r="A37" s="26" t="s">
        <v>99</v>
      </c>
      <c r="B37" s="5">
        <v>-3.44852521085298</v>
      </c>
      <c r="C37" s="5">
        <v>7.3946468013526498</v>
      </c>
      <c r="D37" s="5">
        <v>-4.1858780342765298</v>
      </c>
      <c r="E37" s="5">
        <v>-2.7509320090595399</v>
      </c>
      <c r="F37" s="5">
        <v>-15.3424448300936</v>
      </c>
      <c r="G37" s="5">
        <v>-4.4982572499907896</v>
      </c>
      <c r="H37" s="5">
        <v>23.5864373677393</v>
      </c>
      <c r="J37" s="2">
        <v>1.66</v>
      </c>
      <c r="K37" s="4" t="s">
        <v>80</v>
      </c>
    </row>
    <row r="38" spans="1:11">
      <c r="A38" s="26" t="s">
        <v>100</v>
      </c>
      <c r="B38" s="5">
        <v>4.7644956521692201</v>
      </c>
      <c r="C38" s="5">
        <v>17.9246595390462</v>
      </c>
      <c r="D38" s="5">
        <v>2.1113656820732301</v>
      </c>
      <c r="E38" s="5">
        <v>6.3434344433977703</v>
      </c>
      <c r="F38" s="5">
        <v>-2.7740834945821899</v>
      </c>
      <c r="G38" s="5">
        <v>-3.2840866804272899</v>
      </c>
      <c r="H38" s="5">
        <v>18.936657556879599</v>
      </c>
      <c r="J38" s="2">
        <v>1.67</v>
      </c>
      <c r="K38" s="4" t="s">
        <v>80</v>
      </c>
    </row>
    <row r="39" spans="1:11">
      <c r="A39" s="26" t="s">
        <v>101</v>
      </c>
      <c r="B39" s="5">
        <v>0.69592288618824205</v>
      </c>
      <c r="C39" s="5">
        <v>6.7796399911848102</v>
      </c>
      <c r="D39" s="5">
        <v>-9.3684780373984005</v>
      </c>
      <c r="E39" s="5">
        <v>-4.4981646769864803</v>
      </c>
      <c r="F39" s="5">
        <v>-7.58245657231822</v>
      </c>
      <c r="G39" s="5">
        <v>-4.2586018699839796</v>
      </c>
      <c r="H39" s="5">
        <v>19.89967326591</v>
      </c>
      <c r="J39" s="2">
        <v>1.71</v>
      </c>
      <c r="K39" s="4" t="s">
        <v>80</v>
      </c>
    </row>
    <row r="40" spans="1:11">
      <c r="A40" s="26" t="s">
        <v>102</v>
      </c>
      <c r="B40" s="5">
        <v>3.5529394992300598</v>
      </c>
      <c r="C40" s="5">
        <v>20.816759222565</v>
      </c>
      <c r="D40" s="5">
        <v>4.9168399983504401</v>
      </c>
      <c r="E40" s="5">
        <v>-0.55225929010160302</v>
      </c>
      <c r="F40" s="5">
        <v>-1.9822251187933699</v>
      </c>
      <c r="G40" s="5">
        <v>6.0898139916065501</v>
      </c>
      <c r="H40" s="5">
        <v>30.669168014173302</v>
      </c>
      <c r="J40" s="2">
        <v>1.71</v>
      </c>
      <c r="K40" s="4" t="s">
        <v>80</v>
      </c>
    </row>
    <row r="41" spans="1:11">
      <c r="A41" s="26" t="s">
        <v>103</v>
      </c>
      <c r="B41" s="5">
        <v>0.64911393858369604</v>
      </c>
      <c r="C41" s="5">
        <v>13.842283618282901</v>
      </c>
      <c r="D41" s="5">
        <v>0.19574396495554</v>
      </c>
      <c r="E41" s="5">
        <v>2.8721010969373699</v>
      </c>
      <c r="F41" s="5">
        <v>-9.3191266293105208</v>
      </c>
      <c r="G41" s="5">
        <v>-3.3063669600128902</v>
      </c>
      <c r="H41" s="5">
        <v>14.0084527095442</v>
      </c>
      <c r="J41" s="2">
        <v>1.8</v>
      </c>
      <c r="K41" s="4" t="s">
        <v>80</v>
      </c>
    </row>
    <row r="42" spans="1:11">
      <c r="A42" s="26" t="s">
        <v>104</v>
      </c>
      <c r="B42" s="5">
        <v>-3.7619405262210002</v>
      </c>
      <c r="C42" s="5">
        <v>13.0743187775655</v>
      </c>
      <c r="D42" s="5">
        <v>-4.3289738787271403</v>
      </c>
      <c r="E42" s="5">
        <v>2.07419760832749</v>
      </c>
      <c r="F42" s="5">
        <v>-6.7847921474008199</v>
      </c>
      <c r="G42" s="5">
        <v>-0.66288000911910705</v>
      </c>
      <c r="H42" s="5">
        <v>10.4906114486591</v>
      </c>
      <c r="J42" s="2">
        <v>1.82</v>
      </c>
      <c r="K42" s="4" t="s">
        <v>80</v>
      </c>
    </row>
    <row r="43" spans="1:11">
      <c r="A43" s="26" t="s">
        <v>105</v>
      </c>
      <c r="B43" s="5">
        <v>0.96714160028213303</v>
      </c>
      <c r="C43" s="5">
        <v>14.247417048871799</v>
      </c>
      <c r="D43" s="5">
        <v>-9.2221243268746793</v>
      </c>
      <c r="E43" s="5">
        <v>4.4887613584679702</v>
      </c>
      <c r="F43" s="5">
        <v>-6.30347057169908</v>
      </c>
      <c r="G43" s="5">
        <v>-6.1010972409371798</v>
      </c>
      <c r="H43" s="5">
        <v>11.1005731174104</v>
      </c>
      <c r="J43" s="2">
        <v>1.91</v>
      </c>
      <c r="K43" s="4" t="s">
        <v>80</v>
      </c>
    </row>
    <row r="44" spans="1:11">
      <c r="A44" s="26" t="s">
        <v>106</v>
      </c>
      <c r="B44" s="5">
        <v>-1.5846852281050601</v>
      </c>
      <c r="C44" s="5">
        <v>8.5480850872467293</v>
      </c>
      <c r="D44" s="5">
        <v>-1.74810245501999</v>
      </c>
      <c r="E44" s="5">
        <v>-2.9287422820525499</v>
      </c>
      <c r="F44" s="5">
        <v>-4.6698379829809404</v>
      </c>
      <c r="G44" s="5">
        <v>-5.3455402791410904</v>
      </c>
      <c r="H44" s="5">
        <v>21.405357678498799</v>
      </c>
      <c r="J44" s="2">
        <v>1.99</v>
      </c>
      <c r="K44" s="4" t="s">
        <v>80</v>
      </c>
    </row>
    <row r="45" spans="1:11">
      <c r="A45" s="26" t="s">
        <v>107</v>
      </c>
      <c r="B45" s="5">
        <v>4.5906797739364702</v>
      </c>
      <c r="C45" s="5">
        <v>-0.92969150370521403</v>
      </c>
      <c r="D45" s="5">
        <v>5.7212428982138004</v>
      </c>
      <c r="E45" s="5">
        <v>5.8395219793008</v>
      </c>
      <c r="F45" s="5">
        <v>-10.971903270101301</v>
      </c>
      <c r="G45" s="5">
        <v>-5.1737274497463401</v>
      </c>
      <c r="H45" s="5">
        <v>13.9983601525501</v>
      </c>
      <c r="J45" s="2">
        <v>2.04</v>
      </c>
      <c r="K45" s="4" t="s">
        <v>80</v>
      </c>
    </row>
    <row r="46" spans="1:11">
      <c r="A46" s="26" t="s">
        <v>108</v>
      </c>
      <c r="B46" s="5">
        <v>-0.13874163976782899</v>
      </c>
      <c r="C46" s="5">
        <v>20.631737628103899</v>
      </c>
      <c r="D46" s="5">
        <v>-8.5111862994797001</v>
      </c>
      <c r="E46" s="5">
        <v>1.72676825974361</v>
      </c>
      <c r="F46" s="5">
        <v>-11.542132450864599</v>
      </c>
      <c r="G46" s="5">
        <v>-7.7432839585948203</v>
      </c>
      <c r="H46" s="5">
        <v>15.412519082153599</v>
      </c>
      <c r="J46" s="2">
        <v>2.04</v>
      </c>
      <c r="K46" s="4" t="s">
        <v>80</v>
      </c>
    </row>
    <row r="47" spans="1:11">
      <c r="A47" s="26" t="s">
        <v>109</v>
      </c>
      <c r="B47" s="5">
        <v>1.3515175853132999</v>
      </c>
      <c r="C47" s="5">
        <v>10.457858811713001</v>
      </c>
      <c r="D47" s="5">
        <v>4.5496767954306803</v>
      </c>
      <c r="E47" s="5">
        <v>-2.0246854942138799</v>
      </c>
      <c r="F47" s="5">
        <v>-9.3053260690054493</v>
      </c>
      <c r="G47" s="5">
        <v>-0.193178316893551</v>
      </c>
      <c r="H47" s="5">
        <v>29.994646009933899</v>
      </c>
      <c r="J47" s="2">
        <v>2.1</v>
      </c>
      <c r="K47" s="4" t="s">
        <v>80</v>
      </c>
    </row>
    <row r="48" spans="1:11">
      <c r="A48" s="26" t="s">
        <v>110</v>
      </c>
      <c r="B48" s="5">
        <v>4.5443207109092301</v>
      </c>
      <c r="C48" s="5">
        <v>23.576427510278702</v>
      </c>
      <c r="D48" s="5">
        <v>-3.2811435639445099</v>
      </c>
      <c r="E48" s="5">
        <v>9.1113989826623403</v>
      </c>
      <c r="F48" s="5">
        <v>-7.0922500240304203</v>
      </c>
      <c r="G48" s="5">
        <v>-3.3088382694670901</v>
      </c>
      <c r="H48" s="5">
        <v>9.4747140964288104</v>
      </c>
      <c r="J48" s="2">
        <v>2.1</v>
      </c>
      <c r="K48" s="4" t="s">
        <v>80</v>
      </c>
    </row>
    <row r="49" spans="1:11">
      <c r="A49" s="26" t="s">
        <v>111</v>
      </c>
      <c r="B49" s="5">
        <v>4.6419576104309197</v>
      </c>
      <c r="C49" s="5">
        <v>6.7023854166782799</v>
      </c>
      <c r="D49" s="5">
        <v>-5.37976033111073</v>
      </c>
      <c r="E49" s="5">
        <v>5.3301682200144596</v>
      </c>
      <c r="F49" s="5">
        <v>-7.0749581466805296</v>
      </c>
      <c r="G49" s="5">
        <v>-2.4005161757250999</v>
      </c>
      <c r="H49" s="5">
        <v>15.784178039899899</v>
      </c>
      <c r="J49" s="2">
        <v>2.11</v>
      </c>
      <c r="K49" s="4" t="s">
        <v>80</v>
      </c>
    </row>
    <row r="50" spans="1:11">
      <c r="A50" s="26" t="s">
        <v>112</v>
      </c>
      <c r="B50" s="5">
        <v>2.46607775708173</v>
      </c>
      <c r="C50" s="5">
        <v>38.118856419151598</v>
      </c>
      <c r="D50" s="5">
        <v>5.2416736489843698</v>
      </c>
      <c r="E50" s="5">
        <v>5.6730012436094102</v>
      </c>
      <c r="F50" s="5">
        <v>-9.6560168628413408</v>
      </c>
      <c r="G50" s="5">
        <v>1.73999345205254</v>
      </c>
      <c r="H50" s="5">
        <v>11.356422727491699</v>
      </c>
      <c r="J50" s="2">
        <v>2.11</v>
      </c>
      <c r="K50" s="4" t="s">
        <v>80</v>
      </c>
    </row>
    <row r="51" spans="1:11">
      <c r="A51" s="26" t="s">
        <v>113</v>
      </c>
      <c r="B51" s="5">
        <v>4.3425657967932496</v>
      </c>
      <c r="C51" s="5">
        <v>18.271414977621198</v>
      </c>
      <c r="D51" s="5">
        <v>-5.5777653771917199</v>
      </c>
      <c r="E51" s="5">
        <v>0.36248713258916598</v>
      </c>
      <c r="F51" s="5">
        <v>-9.3737427599513108</v>
      </c>
      <c r="G51" s="5">
        <v>-5.1800335583021999</v>
      </c>
      <c r="H51" s="5">
        <v>25.7875848600785</v>
      </c>
      <c r="J51" s="2">
        <v>2.13</v>
      </c>
      <c r="K51" s="4" t="s">
        <v>80</v>
      </c>
    </row>
    <row r="52" spans="1:11">
      <c r="A52" s="26" t="s">
        <v>114</v>
      </c>
      <c r="B52" s="5">
        <v>-5.9344341871554001</v>
      </c>
      <c r="C52" s="5">
        <v>-4.9042391036598501</v>
      </c>
      <c r="D52" s="5">
        <v>-11.653470916747899</v>
      </c>
      <c r="E52" s="5">
        <v>-12.979110871631701</v>
      </c>
      <c r="F52" s="5">
        <v>-15.3988757044576</v>
      </c>
      <c r="G52" s="5">
        <v>-15.1871188043411</v>
      </c>
      <c r="H52" s="5">
        <v>13.0479765968383</v>
      </c>
      <c r="J52" s="2">
        <v>2.14</v>
      </c>
      <c r="K52" s="4" t="s">
        <v>80</v>
      </c>
    </row>
    <row r="53" spans="1:11">
      <c r="A53" s="26" t="s">
        <v>115</v>
      </c>
      <c r="B53" s="5">
        <v>-2.9797982532884602</v>
      </c>
      <c r="C53" s="5">
        <v>17.181439206444399</v>
      </c>
      <c r="D53" s="5">
        <v>-5.65083010300597</v>
      </c>
      <c r="E53" s="5">
        <v>8.68706293497101</v>
      </c>
      <c r="F53" s="5">
        <v>-8.9315223292875299</v>
      </c>
      <c r="G53" s="5">
        <v>-7.1945823669495601</v>
      </c>
      <c r="H53" s="5">
        <v>6.0988396683830803</v>
      </c>
      <c r="J53" s="2">
        <v>2.2799999999999998</v>
      </c>
      <c r="K53" s="4" t="s">
        <v>80</v>
      </c>
    </row>
    <row r="54" spans="1:11">
      <c r="A54" s="26" t="s">
        <v>116</v>
      </c>
      <c r="B54" s="5">
        <v>3.63295366063821</v>
      </c>
      <c r="C54" s="5">
        <v>12.824478563887199</v>
      </c>
      <c r="D54" s="5">
        <v>1.85358202263134</v>
      </c>
      <c r="E54" s="5">
        <v>-0.240881850726822</v>
      </c>
      <c r="F54" s="5">
        <v>-10.843034653106599</v>
      </c>
      <c r="G54" s="5">
        <v>1.8210518549249499</v>
      </c>
      <c r="H54" s="5">
        <v>27.614989981209199</v>
      </c>
      <c r="J54" s="2">
        <v>2.33</v>
      </c>
      <c r="K54" s="4" t="s">
        <v>80</v>
      </c>
    </row>
    <row r="55" spans="1:11">
      <c r="A55" s="26" t="s">
        <v>117</v>
      </c>
      <c r="B55" s="5">
        <v>-0.35227346491754502</v>
      </c>
      <c r="C55" s="5">
        <v>-1.67217370285908</v>
      </c>
      <c r="D55" s="5">
        <v>-14.2946568499717</v>
      </c>
      <c r="E55" s="5">
        <v>4.3882792523415901</v>
      </c>
      <c r="F55" s="5">
        <v>-9.3106462602414108</v>
      </c>
      <c r="G55" s="5">
        <v>-6.3715558071116902</v>
      </c>
      <c r="H55" s="5">
        <v>13.0402504254265</v>
      </c>
      <c r="J55" s="2">
        <v>2.4</v>
      </c>
      <c r="K55" s="4" t="s">
        <v>80</v>
      </c>
    </row>
    <row r="56" spans="1:11">
      <c r="A56" s="26" t="s">
        <v>118</v>
      </c>
      <c r="B56" s="5">
        <v>-6.83447300570006</v>
      </c>
      <c r="C56" s="5">
        <v>2.9339516836894601</v>
      </c>
      <c r="D56" s="5">
        <v>-6.1980723715267603</v>
      </c>
      <c r="E56" s="5">
        <v>-4.39960104937302</v>
      </c>
      <c r="F56" s="5">
        <v>-12.2572332320246</v>
      </c>
      <c r="G56" s="5">
        <v>-13.253786074901299</v>
      </c>
      <c r="H56" s="5">
        <v>19.4615626380414</v>
      </c>
      <c r="J56" s="2">
        <v>2.41</v>
      </c>
      <c r="K56" s="4" t="s">
        <v>80</v>
      </c>
    </row>
    <row r="57" spans="1:11">
      <c r="A57" s="26" t="s">
        <v>119</v>
      </c>
      <c r="B57" s="5">
        <v>-0.39944075791461803</v>
      </c>
      <c r="C57" s="5">
        <v>9.4377461328980399</v>
      </c>
      <c r="D57" s="5">
        <v>0.872276085239861</v>
      </c>
      <c r="E57" s="5">
        <v>1.00847816349685</v>
      </c>
      <c r="F57" s="5">
        <v>-9.8235447881403708</v>
      </c>
      <c r="G57" s="5">
        <v>-3.58500902133125</v>
      </c>
      <c r="H57" s="5">
        <v>23.083548860366601</v>
      </c>
      <c r="J57" s="2">
        <v>2.5</v>
      </c>
      <c r="K57" s="4" t="s">
        <v>80</v>
      </c>
    </row>
    <row r="58" spans="1:11">
      <c r="A58" s="26" t="s">
        <v>120</v>
      </c>
      <c r="B58" s="5">
        <v>4.1890689649523596</v>
      </c>
      <c r="C58" s="5">
        <v>38.396271966813501</v>
      </c>
      <c r="D58" s="5">
        <v>7.1517546676411703</v>
      </c>
      <c r="E58" s="5">
        <v>12.752506544324399</v>
      </c>
      <c r="F58" s="5">
        <v>1.99733058128001</v>
      </c>
      <c r="G58" s="5">
        <v>8.0110168108070106</v>
      </c>
      <c r="H58" s="5">
        <v>28.293617333572101</v>
      </c>
      <c r="J58" s="2">
        <v>2.54</v>
      </c>
      <c r="K58" s="4" t="s">
        <v>80</v>
      </c>
    </row>
    <row r="59" spans="1:11">
      <c r="A59" s="26" t="s">
        <v>121</v>
      </c>
      <c r="B59" s="5">
        <v>-0.643692164617931</v>
      </c>
      <c r="C59" s="5">
        <v>6.9967597267905699</v>
      </c>
      <c r="D59" s="5">
        <v>-11.035984760507301</v>
      </c>
      <c r="E59" s="5">
        <v>1.94275328220576</v>
      </c>
      <c r="F59" s="5">
        <v>-9.4506449865244804</v>
      </c>
      <c r="G59" s="5">
        <v>-7.7856777121846203</v>
      </c>
      <c r="H59" s="5">
        <v>17.398379967798199</v>
      </c>
      <c r="J59" s="2">
        <v>2.5499999999999998</v>
      </c>
      <c r="K59" s="4" t="s">
        <v>80</v>
      </c>
    </row>
    <row r="60" spans="1:11">
      <c r="A60" s="26" t="s">
        <v>122</v>
      </c>
      <c r="B60" s="5">
        <v>1.00626587756494</v>
      </c>
      <c r="C60" s="5">
        <v>-5.6969829147990696</v>
      </c>
      <c r="D60" s="5">
        <v>-2.88653930969511</v>
      </c>
      <c r="E60" s="5">
        <v>3.0766142007742601</v>
      </c>
      <c r="F60" s="5">
        <v>-6.4652891215396302</v>
      </c>
      <c r="G60" s="5">
        <v>-1.75976954930343</v>
      </c>
      <c r="H60" s="5">
        <v>10.595823342038701</v>
      </c>
      <c r="J60" s="2">
        <v>2.6</v>
      </c>
      <c r="K60" s="4" t="s">
        <v>80</v>
      </c>
    </row>
    <row r="61" spans="1:11">
      <c r="A61" s="26" t="s">
        <v>123</v>
      </c>
      <c r="B61" s="5">
        <v>1.76096495110841</v>
      </c>
      <c r="C61" s="5">
        <v>9.2859370727462895</v>
      </c>
      <c r="D61" s="5">
        <v>-9.2952732398520901</v>
      </c>
      <c r="E61" s="5">
        <v>-3.2394092077402101</v>
      </c>
      <c r="F61" s="5">
        <v>-12.861447924271801</v>
      </c>
      <c r="G61" s="5">
        <v>-9.2569875511264907</v>
      </c>
      <c r="H61" s="5">
        <v>17.133067438302</v>
      </c>
      <c r="J61" s="2">
        <v>2.7</v>
      </c>
      <c r="K61" s="4" t="s">
        <v>80</v>
      </c>
    </row>
    <row r="62" spans="1:11">
      <c r="A62" s="26" t="s">
        <v>124</v>
      </c>
      <c r="B62" s="5">
        <v>-1.65136723719797</v>
      </c>
      <c r="C62" s="5">
        <v>6.2457541436765798</v>
      </c>
      <c r="D62" s="5">
        <v>-1.01317091380943</v>
      </c>
      <c r="E62" s="5">
        <v>2.3613199930817399</v>
      </c>
      <c r="F62" s="5">
        <v>-2.1406156846308302</v>
      </c>
      <c r="G62" s="5">
        <v>-2.2290766812821499</v>
      </c>
      <c r="H62" s="5">
        <v>17.098171437725998</v>
      </c>
      <c r="J62" s="2">
        <v>2.77</v>
      </c>
      <c r="K62" s="4" t="s">
        <v>80</v>
      </c>
    </row>
    <row r="63" spans="1:11">
      <c r="A63" s="26" t="s">
        <v>125</v>
      </c>
      <c r="B63" s="5">
        <v>-3.7974508949399399</v>
      </c>
      <c r="C63" s="5">
        <v>0.39130350297813299</v>
      </c>
      <c r="D63" s="5">
        <v>-7.7726019219965998</v>
      </c>
      <c r="E63" s="5">
        <v>-5.2349735595739402</v>
      </c>
      <c r="F63" s="5">
        <v>-16.2412045195166</v>
      </c>
      <c r="G63" s="5">
        <v>-12.1488053089308</v>
      </c>
      <c r="H63" s="5">
        <v>17.8491590389016</v>
      </c>
      <c r="J63" s="2">
        <v>2.79</v>
      </c>
      <c r="K63" s="4" t="s">
        <v>80</v>
      </c>
    </row>
    <row r="64" spans="1:11">
      <c r="A64" s="26" t="s">
        <v>126</v>
      </c>
      <c r="B64" s="5">
        <v>-4.8832446477997804</v>
      </c>
      <c r="C64" s="5">
        <v>-4.8955487812463602E-2</v>
      </c>
      <c r="D64" s="5">
        <v>-8.5384324433608505</v>
      </c>
      <c r="E64" s="5">
        <v>-2.2487521942136102</v>
      </c>
      <c r="F64" s="5">
        <v>-6.1204776911910104</v>
      </c>
      <c r="G64" s="5">
        <v>-7.2606901661245002</v>
      </c>
      <c r="H64" s="5">
        <v>19.437144630707301</v>
      </c>
      <c r="J64" s="2">
        <v>2.91</v>
      </c>
      <c r="K64" s="4" t="s">
        <v>80</v>
      </c>
    </row>
    <row r="65" spans="1:11">
      <c r="A65" s="26" t="s">
        <v>127</v>
      </c>
      <c r="B65" s="5">
        <v>3.50517889957686</v>
      </c>
      <c r="C65" s="5">
        <v>4.9272586151179203</v>
      </c>
      <c r="D65" s="5">
        <v>7.6743368501610107E-2</v>
      </c>
      <c r="E65" s="5">
        <v>-1.4026299662379</v>
      </c>
      <c r="F65" s="5">
        <v>-6.7192701637864003</v>
      </c>
      <c r="G65" s="5">
        <v>-1.21485978516316</v>
      </c>
      <c r="H65" s="5">
        <v>24.441953935789801</v>
      </c>
      <c r="J65" s="2">
        <v>3.19</v>
      </c>
      <c r="K65" s="4" t="s">
        <v>80</v>
      </c>
    </row>
    <row r="66" spans="1:11">
      <c r="A66" s="26" t="s">
        <v>128</v>
      </c>
      <c r="B66" s="5">
        <v>2.9811383291815599</v>
      </c>
      <c r="C66" s="5">
        <v>13.932803499980199</v>
      </c>
      <c r="D66" s="5">
        <v>-4.7678643001085801</v>
      </c>
      <c r="E66" s="5">
        <v>1.74365219495235</v>
      </c>
      <c r="F66" s="5">
        <v>-9.2091184113474505</v>
      </c>
      <c r="G66" s="5">
        <v>-3.8122504792475</v>
      </c>
      <c r="H66" s="5">
        <v>15.453083957400899</v>
      </c>
      <c r="J66" s="2">
        <v>3.4</v>
      </c>
      <c r="K66" s="4" t="s">
        <v>80</v>
      </c>
    </row>
    <row r="67" spans="1:11">
      <c r="A67" s="26" t="s">
        <v>129</v>
      </c>
      <c r="B67" s="5">
        <v>-1.4542841369797701</v>
      </c>
      <c r="C67" s="5">
        <v>10.575638515140501</v>
      </c>
      <c r="D67" s="5">
        <v>-5.6249696423017799</v>
      </c>
      <c r="E67" s="5">
        <v>-3.3054487775835399</v>
      </c>
      <c r="F67" s="5">
        <v>-11.092016317648</v>
      </c>
      <c r="G67" s="5">
        <v>-5.5494306699760596</v>
      </c>
      <c r="H67" s="5">
        <v>19.018725561886001</v>
      </c>
      <c r="J67" s="2">
        <v>3.56</v>
      </c>
      <c r="K67" s="4" t="s">
        <v>80</v>
      </c>
    </row>
    <row r="68" spans="1:11">
      <c r="A68" s="26" t="s">
        <v>130</v>
      </c>
      <c r="B68" s="5">
        <v>-2.7515215465240601</v>
      </c>
      <c r="C68" s="5">
        <v>11.416018351138799</v>
      </c>
      <c r="D68" s="5">
        <v>-1.4867507247704701</v>
      </c>
      <c r="E68" s="5">
        <v>0.50845839734583398</v>
      </c>
      <c r="F68" s="5">
        <v>-6.81241611854034</v>
      </c>
      <c r="G68" s="5">
        <v>-5.2142973997426898</v>
      </c>
      <c r="H68" s="5">
        <v>25.381393467473099</v>
      </c>
      <c r="J68" s="2">
        <v>3.62</v>
      </c>
      <c r="K68" s="4" t="s">
        <v>80</v>
      </c>
    </row>
    <row r="69" spans="1:11">
      <c r="A69" s="26" t="s">
        <v>131</v>
      </c>
      <c r="B69" s="5">
        <v>2.82345704035427</v>
      </c>
      <c r="C69" s="5">
        <v>16.980176448151401</v>
      </c>
      <c r="D69" s="5">
        <v>-7.0128411369151999</v>
      </c>
      <c r="E69" s="5">
        <v>4.0166466015990903</v>
      </c>
      <c r="F69" s="5">
        <v>-3.6127896384077798</v>
      </c>
      <c r="G69" s="5">
        <v>-5.1687090979462802</v>
      </c>
      <c r="H69" s="5">
        <v>10.8181364186142</v>
      </c>
      <c r="J69" s="2">
        <v>3.91</v>
      </c>
      <c r="K69" s="4" t="s">
        <v>80</v>
      </c>
    </row>
    <row r="70" spans="1:11">
      <c r="A70" s="26" t="s">
        <v>132</v>
      </c>
      <c r="B70" s="5">
        <v>5.6217882496896996</v>
      </c>
      <c r="C70" s="5">
        <v>32.717027483431401</v>
      </c>
      <c r="D70" s="5">
        <v>0.67471396798063699</v>
      </c>
      <c r="E70" s="5">
        <v>3.93650655072511</v>
      </c>
      <c r="F70" s="5">
        <v>1.8845608502186899</v>
      </c>
      <c r="G70" s="5">
        <v>-2.3100416220509898</v>
      </c>
      <c r="H70" s="5">
        <v>14.567825808840899</v>
      </c>
      <c r="J70" s="2">
        <v>4.0599999999999996</v>
      </c>
      <c r="K70" s="4" t="s">
        <v>80</v>
      </c>
    </row>
    <row r="71" spans="1:11">
      <c r="A71" s="26" t="s">
        <v>133</v>
      </c>
      <c r="B71" s="5">
        <v>3.0104038909119302</v>
      </c>
      <c r="C71" s="5">
        <v>16.7587206409959</v>
      </c>
      <c r="D71" s="5">
        <v>-1.4244029484831899</v>
      </c>
      <c r="E71" s="5">
        <v>-0.60992768275556797</v>
      </c>
      <c r="F71" s="5">
        <v>-11.6437021983867</v>
      </c>
      <c r="G71" s="5">
        <v>-4.3602597448947904</v>
      </c>
      <c r="H71" s="5">
        <v>21.139723688136598</v>
      </c>
      <c r="J71" s="2">
        <v>4.43</v>
      </c>
      <c r="K71" s="4" t="s">
        <v>80</v>
      </c>
    </row>
    <row r="72" spans="1:11">
      <c r="A72" s="26" t="s">
        <v>134</v>
      </c>
      <c r="B72" s="5">
        <v>0.87914101611434603</v>
      </c>
      <c r="C72" s="5">
        <v>9.6734883038720092</v>
      </c>
      <c r="D72" s="5">
        <v>-4.2932120334318098</v>
      </c>
      <c r="E72" s="5">
        <v>1.9306484395313801</v>
      </c>
      <c r="F72" s="5">
        <v>-4.6032409187941701</v>
      </c>
      <c r="G72" s="5">
        <v>-3.7383271951020198</v>
      </c>
      <c r="H72" s="5">
        <v>24.1001795906935</v>
      </c>
      <c r="J72" s="2">
        <v>5.03</v>
      </c>
      <c r="K72" s="4" t="s">
        <v>80</v>
      </c>
    </row>
    <row r="73" spans="1:11">
      <c r="A73" s="26" t="s">
        <v>135</v>
      </c>
      <c r="B73" s="5">
        <v>-4.3757098309890496</v>
      </c>
      <c r="C73" s="5">
        <v>1.1822585048402099</v>
      </c>
      <c r="D73" s="5">
        <v>-9.9362131959551299</v>
      </c>
      <c r="E73" s="5">
        <v>-2.1006382020797498</v>
      </c>
      <c r="F73" s="5">
        <v>-13.119109394528</v>
      </c>
      <c r="G73" s="5">
        <v>-7.2831266988358401</v>
      </c>
      <c r="H73" s="5">
        <v>17.712626827306401</v>
      </c>
      <c r="J73" s="2">
        <v>5.52</v>
      </c>
      <c r="K73" s="4" t="s">
        <v>80</v>
      </c>
    </row>
    <row r="74" spans="1:11">
      <c r="A74" s="26" t="s">
        <v>136</v>
      </c>
      <c r="B74" s="5">
        <v>0.663568647164681</v>
      </c>
      <c r="C74" s="5">
        <v>10.5736071703031</v>
      </c>
      <c r="D74" s="5">
        <v>-3.0377507078141002</v>
      </c>
      <c r="E74" s="5">
        <v>-2.4314584042284899</v>
      </c>
      <c r="F74" s="5">
        <v>-2.1434452372176298</v>
      </c>
      <c r="G74" s="5">
        <v>-1.34533078721134</v>
      </c>
      <c r="H74" s="5">
        <v>24.839776437389698</v>
      </c>
      <c r="J74" s="2">
        <v>5.61</v>
      </c>
      <c r="K74" s="4" t="s">
        <v>80</v>
      </c>
    </row>
    <row r="75" spans="1:11">
      <c r="A75" s="26" t="s">
        <v>137</v>
      </c>
      <c r="B75" s="5">
        <v>-9.2192205713218094</v>
      </c>
      <c r="C75" s="5">
        <v>-3.2400853273229302</v>
      </c>
      <c r="D75" s="5">
        <v>-9.2958180829393804</v>
      </c>
      <c r="E75" s="5">
        <v>-9.0162419872837294</v>
      </c>
      <c r="F75" s="5">
        <v>-24.820882976510401</v>
      </c>
      <c r="G75" s="5">
        <v>-17.025787186315199</v>
      </c>
      <c r="H75" s="5">
        <v>10.8435317452546</v>
      </c>
      <c r="J75" s="2">
        <v>5.61</v>
      </c>
      <c r="K75" s="4" t="s">
        <v>80</v>
      </c>
    </row>
    <row r="76" spans="1:11">
      <c r="A76" s="26" t="s">
        <v>138</v>
      </c>
      <c r="B76" s="5">
        <v>5.9749757966588097</v>
      </c>
      <c r="C76" s="5">
        <v>12.6763159046694</v>
      </c>
      <c r="D76" s="5">
        <v>6.4697277067184</v>
      </c>
      <c r="E76" s="5">
        <v>-5.3354122574763201</v>
      </c>
      <c r="F76" s="5">
        <v>-4.46207620634189</v>
      </c>
      <c r="G76" s="5">
        <v>-1.46718980965107</v>
      </c>
      <c r="H76" s="5">
        <v>30.087914987447999</v>
      </c>
      <c r="J76" s="2">
        <v>5.69</v>
      </c>
      <c r="K76" s="4" t="s">
        <v>80</v>
      </c>
    </row>
    <row r="77" spans="1:11">
      <c r="A77" s="26" t="s">
        <v>139</v>
      </c>
      <c r="B77" s="5">
        <v>1.9016696929100501</v>
      </c>
      <c r="C77" s="5">
        <v>9.9950511674916793</v>
      </c>
      <c r="D77" s="5">
        <v>2.9866019727856199</v>
      </c>
      <c r="E77" s="5">
        <v>-3.1419092784470299</v>
      </c>
      <c r="F77" s="5">
        <v>-9.1098862383046804</v>
      </c>
      <c r="G77" s="5">
        <v>1.39708540357969</v>
      </c>
      <c r="H77" s="5">
        <v>28.350254597997701</v>
      </c>
      <c r="J77" s="2">
        <v>5.71</v>
      </c>
      <c r="K77" s="4" t="s">
        <v>80</v>
      </c>
    </row>
    <row r="78" spans="1:11">
      <c r="A78" s="26" t="s">
        <v>140</v>
      </c>
      <c r="B78" s="5">
        <v>0.56871286926710196</v>
      </c>
      <c r="C78" s="5">
        <v>7.2407554259696996</v>
      </c>
      <c r="D78" s="5">
        <v>-0.295456950833966</v>
      </c>
      <c r="E78" s="5">
        <v>2.0492263652972702</v>
      </c>
      <c r="F78" s="5">
        <v>-5.3565657025675097</v>
      </c>
      <c r="G78" s="5">
        <v>-0.47779924225491799</v>
      </c>
      <c r="H78" s="5">
        <v>23.4118627339959</v>
      </c>
      <c r="J78" s="2">
        <v>6.22</v>
      </c>
      <c r="K78" s="4" t="s">
        <v>80</v>
      </c>
    </row>
    <row r="79" spans="1:11">
      <c r="A79" s="26" t="s">
        <v>141</v>
      </c>
      <c r="B79" s="5">
        <v>0.48468069336519198</v>
      </c>
      <c r="C79" s="5">
        <v>22.3622915952451</v>
      </c>
      <c r="D79" s="5">
        <v>-1.6533850937713299</v>
      </c>
      <c r="E79" s="5">
        <v>-1.67652402904767</v>
      </c>
      <c r="F79" s="5">
        <v>-11.9047649634482</v>
      </c>
      <c r="G79" s="5">
        <v>-6.5360054558810203</v>
      </c>
      <c r="H79" s="5">
        <v>13.9057326722514</v>
      </c>
      <c r="J79" s="2">
        <v>8.44</v>
      </c>
      <c r="K79" s="4" t="s">
        <v>80</v>
      </c>
    </row>
    <row r="80" spans="1:11">
      <c r="A80" s="26" t="s">
        <v>142</v>
      </c>
      <c r="B80" s="5">
        <v>5.4120033065217097</v>
      </c>
      <c r="C80" s="5">
        <v>21.672811004474301</v>
      </c>
      <c r="D80" s="5">
        <v>-1.3449981177059001</v>
      </c>
      <c r="E80" s="5">
        <v>-0.29739106317714498</v>
      </c>
      <c r="F80" s="5">
        <v>-12.717443886080799</v>
      </c>
      <c r="G80" s="5">
        <v>-6.0896965135094403</v>
      </c>
      <c r="H80" s="5">
        <v>13.7335163755089</v>
      </c>
      <c r="J80" s="2">
        <v>8.56</v>
      </c>
      <c r="K80" s="4" t="s">
        <v>80</v>
      </c>
    </row>
    <row r="81" spans="1:11">
      <c r="A81" s="26" t="s">
        <v>143</v>
      </c>
      <c r="B81" s="5">
        <v>-3.6941151402760402</v>
      </c>
      <c r="C81" s="5">
        <v>3.3177490493103798</v>
      </c>
      <c r="D81" s="5">
        <v>-9.17103201614648</v>
      </c>
      <c r="E81" s="5">
        <v>-7.2579664516356699</v>
      </c>
      <c r="F81" s="5">
        <v>-15.140991901034599</v>
      </c>
      <c r="G81" s="5">
        <v>-11.8635579855593</v>
      </c>
      <c r="H81" s="5">
        <v>11.071571688734601</v>
      </c>
      <c r="J81" s="2">
        <v>9.1300000000000008</v>
      </c>
      <c r="K81" s="4" t="s">
        <v>80</v>
      </c>
    </row>
    <row r="82" spans="1:11">
      <c r="A82" s="26" t="s">
        <v>144</v>
      </c>
      <c r="B82" s="5">
        <v>7.8857700802761599</v>
      </c>
      <c r="C82" s="5">
        <v>13.9342720318249</v>
      </c>
      <c r="D82" s="5">
        <v>-4.3831941854854204</v>
      </c>
      <c r="E82" s="5">
        <v>4.1236775265057899</v>
      </c>
      <c r="F82" s="5">
        <v>-7.3823242420816397</v>
      </c>
      <c r="G82" s="5">
        <v>-0.49481515654321101</v>
      </c>
      <c r="H82" s="5">
        <v>20.054624967634499</v>
      </c>
      <c r="J82" s="2">
        <v>9.32</v>
      </c>
      <c r="K82" s="4" t="s">
        <v>80</v>
      </c>
    </row>
    <row r="83" spans="1:11">
      <c r="A83" s="26" t="s">
        <v>145</v>
      </c>
      <c r="B83" s="5">
        <v>5.2464932259309496</v>
      </c>
      <c r="C83" s="5">
        <v>22.9936678366476</v>
      </c>
      <c r="D83" s="5">
        <v>1.2223036201276301</v>
      </c>
      <c r="E83" s="5">
        <v>1.2941187276714501</v>
      </c>
      <c r="F83" s="5">
        <v>-6.0144461459082104</v>
      </c>
      <c r="G83" s="5">
        <v>-3.3342890712703199</v>
      </c>
      <c r="H83" s="5">
        <v>20.632036484459999</v>
      </c>
      <c r="J83" s="2">
        <v>9.89</v>
      </c>
      <c r="K83" s="4" t="s">
        <v>80</v>
      </c>
    </row>
    <row r="84" spans="1:11">
      <c r="A84" s="26" t="s">
        <v>146</v>
      </c>
      <c r="B84" s="5">
        <v>3.8934697972261501</v>
      </c>
      <c r="C84" s="5">
        <v>16.2339187367348</v>
      </c>
      <c r="D84" s="5">
        <v>-8.2397593591407503</v>
      </c>
      <c r="E84" s="5">
        <v>-5.5352822416951701</v>
      </c>
      <c r="F84" s="5">
        <v>-10.068633142188</v>
      </c>
      <c r="G84" s="5">
        <v>-5.2902694184138603</v>
      </c>
      <c r="H84" s="5">
        <v>10.9189198917556</v>
      </c>
      <c r="J84" s="2">
        <v>10.82</v>
      </c>
      <c r="K84" s="4" t="s">
        <v>147</v>
      </c>
    </row>
    <row r="85" spans="1:11">
      <c r="A85" s="26" t="s">
        <v>148</v>
      </c>
      <c r="B85" s="5">
        <v>11.4618987130898</v>
      </c>
      <c r="C85" s="5">
        <v>24.271504927355501</v>
      </c>
      <c r="D85" s="5">
        <v>7.3023690247950999</v>
      </c>
      <c r="E85" s="5">
        <v>0.15398761656086901</v>
      </c>
      <c r="F85" s="5">
        <v>2.4077076874335401</v>
      </c>
      <c r="G85" s="5">
        <v>-6.25048189480992E-2</v>
      </c>
      <c r="H85" s="5">
        <v>18.228834164872602</v>
      </c>
      <c r="J85" s="2">
        <v>12.07</v>
      </c>
      <c r="K85" s="4" t="s">
        <v>147</v>
      </c>
    </row>
    <row r="86" spans="1:11">
      <c r="A86" s="26" t="s">
        <v>149</v>
      </c>
      <c r="B86" s="5">
        <v>4.7420983689696898</v>
      </c>
      <c r="C86" s="5">
        <v>32.9073013090809</v>
      </c>
      <c r="D86" s="5">
        <v>-8.2758130371655092</v>
      </c>
      <c r="E86" s="5">
        <v>2.0076316826217599</v>
      </c>
      <c r="F86" s="5">
        <v>-1.9266792271994599</v>
      </c>
      <c r="G86" s="5">
        <v>-0.13307942895349401</v>
      </c>
      <c r="H86" s="5">
        <v>14.175956934762899</v>
      </c>
      <c r="J86" s="2">
        <v>18.75</v>
      </c>
      <c r="K86" s="4" t="s">
        <v>147</v>
      </c>
    </row>
    <row r="87" spans="1:11">
      <c r="A87" s="26" t="s">
        <v>150</v>
      </c>
      <c r="B87" s="5">
        <v>-0.39324776565209202</v>
      </c>
      <c r="C87" s="5">
        <v>14.637723603151899</v>
      </c>
      <c r="D87" s="5">
        <v>-13.2168974109535</v>
      </c>
      <c r="E87" s="5">
        <v>-7.1130087203386001</v>
      </c>
      <c r="F87" s="5">
        <v>-10.8356267206495</v>
      </c>
      <c r="G87" s="5">
        <v>-8.2081007616783399</v>
      </c>
      <c r="H87" s="5">
        <v>22.752727235657201</v>
      </c>
      <c r="J87" s="2">
        <v>19.25</v>
      </c>
      <c r="K87" s="4" t="s">
        <v>147</v>
      </c>
    </row>
    <row r="88" spans="1:11">
      <c r="A88" s="26" t="s">
        <v>151</v>
      </c>
      <c r="B88" s="5">
        <v>8.2764160596006793</v>
      </c>
      <c r="C88" s="5">
        <v>27.799785454292799</v>
      </c>
      <c r="D88" s="5">
        <v>1.42706232727033</v>
      </c>
      <c r="E88" s="5">
        <v>-3.74851105059932</v>
      </c>
      <c r="F88" s="5">
        <v>-5.5379212554751103</v>
      </c>
      <c r="G88" s="5">
        <v>-3.1607884007833</v>
      </c>
      <c r="H88" s="5">
        <v>17.654202260348399</v>
      </c>
      <c r="J88" s="2">
        <v>19.45</v>
      </c>
      <c r="K88" s="4" t="s">
        <v>147</v>
      </c>
    </row>
    <row r="89" spans="1:11">
      <c r="A89" s="26" t="s">
        <v>152</v>
      </c>
      <c r="B89" s="5">
        <v>2.4653591086666902</v>
      </c>
      <c r="C89" s="5">
        <v>21.752500335859899</v>
      </c>
      <c r="D89" s="5">
        <v>-2.45839932922431</v>
      </c>
      <c r="E89" s="5">
        <v>-3.4704012999765999</v>
      </c>
      <c r="F89" s="5">
        <v>-7.3733059101373302</v>
      </c>
      <c r="G89" s="5">
        <v>-2.6829834797903498</v>
      </c>
      <c r="H89" s="5">
        <v>17.462473121071699</v>
      </c>
      <c r="J89" s="2">
        <v>20.8</v>
      </c>
      <c r="K89" s="4" t="s">
        <v>147</v>
      </c>
    </row>
    <row r="90" spans="1:11">
      <c r="A90" s="26" t="s">
        <v>153</v>
      </c>
      <c r="B90" s="5">
        <v>6.7530237491072</v>
      </c>
      <c r="C90" s="5">
        <v>9.61028955832899</v>
      </c>
      <c r="D90" s="5">
        <v>-1.71722333446294</v>
      </c>
      <c r="E90" s="5">
        <v>-0.50176942072676001</v>
      </c>
      <c r="F90" s="5">
        <v>-6.6901466700382999</v>
      </c>
      <c r="G90" s="5">
        <v>-2.5659292149098301</v>
      </c>
      <c r="H90" s="5">
        <v>8.7238803980703192</v>
      </c>
      <c r="J90" s="2">
        <v>27.47</v>
      </c>
      <c r="K90" s="4" t="s">
        <v>147</v>
      </c>
    </row>
    <row r="91" spans="1:11">
      <c r="A91" s="26" t="s">
        <v>154</v>
      </c>
      <c r="B91" s="5">
        <v>4.36013998679101</v>
      </c>
      <c r="C91" s="5">
        <v>28.982331757148401</v>
      </c>
      <c r="D91" s="5">
        <v>-13.257873167802501</v>
      </c>
      <c r="E91" s="5">
        <v>-1.2787533100708099</v>
      </c>
      <c r="F91" s="5">
        <v>-9.2810700452179393</v>
      </c>
      <c r="G91" s="5">
        <v>-4.5321241577101699</v>
      </c>
      <c r="H91" s="5">
        <v>6.9041020897512304</v>
      </c>
      <c r="J91" s="2">
        <v>53.15</v>
      </c>
      <c r="K91" s="4" t="s">
        <v>147</v>
      </c>
    </row>
    <row r="94" spans="1:11">
      <c r="A94" s="26"/>
      <c r="B94" s="5"/>
      <c r="C94" s="5"/>
      <c r="D94" s="5"/>
      <c r="E94" s="5"/>
      <c r="F94" s="5"/>
      <c r="G94" s="5"/>
      <c r="H94" s="5"/>
    </row>
    <row r="95" spans="1:11">
      <c r="A95" s="26"/>
      <c r="B95" s="5"/>
      <c r="C95" s="5"/>
      <c r="D95" s="5"/>
      <c r="E95" s="5"/>
      <c r="F95" s="5"/>
      <c r="G95" s="5"/>
      <c r="H95" s="5"/>
    </row>
    <row r="96" spans="1:11">
      <c r="A96" s="26"/>
      <c r="B96" s="5"/>
      <c r="C96" s="5"/>
      <c r="D96" s="5"/>
      <c r="E96" s="5"/>
      <c r="F96" s="5"/>
      <c r="G96" s="5"/>
      <c r="H96" s="5"/>
    </row>
  </sheetData>
  <sortState xmlns:xlrd2="http://schemas.microsoft.com/office/spreadsheetml/2017/richdata2" ref="A2:K92">
    <sortCondition ref="J2:J9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"/>
  <sheetViews>
    <sheetView zoomScaleNormal="100" workbookViewId="0"/>
  </sheetViews>
  <sheetFormatPr defaultColWidth="9.3984375" defaultRowHeight="11.25"/>
  <cols>
    <col min="1" max="1" width="8.3984375" style="14" bestFit="1" customWidth="1"/>
    <col min="2" max="2" width="10.19921875" style="4" bestFit="1" customWidth="1"/>
    <col min="3" max="4" width="6.59765625" style="4" bestFit="1" customWidth="1"/>
    <col min="5" max="5" width="7.19921875" style="4" bestFit="1" customWidth="1"/>
    <col min="6" max="6" width="8" style="4" bestFit="1" customWidth="1"/>
    <col min="7" max="7" width="9.59765625" style="4" bestFit="1" customWidth="1"/>
    <col min="8" max="8" width="6.3984375" style="4" bestFit="1" customWidth="1"/>
    <col min="9" max="9" width="2.3984375" style="4" customWidth="1"/>
    <col min="10" max="10" width="28.796875" style="4" bestFit="1" customWidth="1"/>
    <col min="11" max="11" width="2.796875" style="4" customWidth="1"/>
    <col min="12" max="12" width="13" style="4" bestFit="1" customWidth="1"/>
    <col min="13" max="13" width="17" style="4" bestFit="1" customWidth="1"/>
    <col min="14" max="14" width="14.3984375" style="4" bestFit="1" customWidth="1"/>
    <col min="15" max="15" width="15.796875" style="4" bestFit="1" customWidth="1"/>
    <col min="16" max="16" width="16.19921875" style="4" bestFit="1" customWidth="1"/>
    <col min="17" max="16384" width="9.3984375" style="4"/>
  </cols>
  <sheetData>
    <row r="1" spans="1:1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155</v>
      </c>
      <c r="G1" s="9" t="s">
        <v>6</v>
      </c>
      <c r="H1" s="9" t="s">
        <v>156</v>
      </c>
      <c r="J1" s="9" t="s">
        <v>157</v>
      </c>
      <c r="L1" s="9" t="s">
        <v>158</v>
      </c>
      <c r="M1" s="9" t="s">
        <v>159</v>
      </c>
      <c r="N1" s="9" t="s">
        <v>160</v>
      </c>
      <c r="O1" s="9" t="s">
        <v>161</v>
      </c>
      <c r="P1" s="9" t="s">
        <v>162</v>
      </c>
    </row>
    <row r="2" spans="1:16">
      <c r="A2" s="14" t="s">
        <v>163</v>
      </c>
      <c r="B2" s="5">
        <v>18.607017943315199</v>
      </c>
      <c r="C2" s="5">
        <v>43.621799354425697</v>
      </c>
      <c r="D2" s="5">
        <v>13.3378516471683</v>
      </c>
      <c r="E2" s="5">
        <v>6.2197962928242703</v>
      </c>
      <c r="F2" s="5">
        <v>0.403795535117212</v>
      </c>
      <c r="G2" s="5">
        <v>8.9843221034790606</v>
      </c>
      <c r="H2" s="5">
        <v>25.753433785237199</v>
      </c>
      <c r="J2" s="7">
        <v>20.868210438381698</v>
      </c>
      <c r="K2" s="3"/>
      <c r="L2" s="15">
        <v>124493039</v>
      </c>
      <c r="M2" s="15">
        <f>44429594+44445556</f>
        <v>88875150</v>
      </c>
      <c r="N2" s="16">
        <f t="shared" ref="N2:N12" si="0">M2/L2*100</f>
        <v>71.389654163715932</v>
      </c>
      <c r="O2" s="15">
        <f>11176165+11184825</f>
        <v>22360990</v>
      </c>
      <c r="P2" s="16">
        <f t="shared" ref="P2:P12" si="1">O2*150/3000000000</f>
        <v>1.1180494999999999</v>
      </c>
    </row>
    <row r="3" spans="1:16">
      <c r="A3" s="14" t="s">
        <v>164</v>
      </c>
      <c r="B3" s="5">
        <v>18.286143945062499</v>
      </c>
      <c r="C3" s="5">
        <v>31.764906470771798</v>
      </c>
      <c r="D3" s="5">
        <v>3.7103055511295802</v>
      </c>
      <c r="E3" s="5">
        <v>-6.5141745226897001</v>
      </c>
      <c r="F3" s="5">
        <v>0.99174420138410802</v>
      </c>
      <c r="G3" s="5">
        <v>13.9816193418332</v>
      </c>
      <c r="H3" s="5">
        <v>17.300154555332998</v>
      </c>
      <c r="J3" s="2">
        <v>16.003443237595398</v>
      </c>
      <c r="K3" s="3"/>
      <c r="L3" s="15">
        <v>128938987</v>
      </c>
      <c r="M3" s="15">
        <f>44808407+44808088</f>
        <v>89616495</v>
      </c>
      <c r="N3" s="16">
        <f t="shared" si="0"/>
        <v>69.503023937980828</v>
      </c>
      <c r="O3" s="15">
        <f>6254494+6255138</f>
        <v>12509632</v>
      </c>
      <c r="P3" s="16">
        <f t="shared" si="1"/>
        <v>0.62548159999999997</v>
      </c>
    </row>
    <row r="4" spans="1:16">
      <c r="A4" s="14" t="s">
        <v>165</v>
      </c>
      <c r="B4" s="5">
        <v>4.4569649030086698</v>
      </c>
      <c r="C4" s="5">
        <v>20.698345748752001</v>
      </c>
      <c r="D4" s="5">
        <v>10.110043519933599</v>
      </c>
      <c r="E4" s="5">
        <v>-1.0740019786555599</v>
      </c>
      <c r="F4" s="5">
        <v>-10.018191639816701</v>
      </c>
      <c r="G4" s="5">
        <v>4.7729267951932002</v>
      </c>
      <c r="H4" s="5">
        <v>13.237342986604499</v>
      </c>
      <c r="J4" s="2">
        <v>1.0003514577692201</v>
      </c>
      <c r="K4" s="3"/>
      <c r="L4" s="15">
        <v>215050523</v>
      </c>
      <c r="M4" s="15">
        <f>80439035+80684859</f>
        <v>161123894</v>
      </c>
      <c r="N4" s="16">
        <f t="shared" si="0"/>
        <v>74.923739664655457</v>
      </c>
      <c r="O4" s="15">
        <f>32046768+32103243</f>
        <v>64150011</v>
      </c>
      <c r="P4" s="16">
        <f t="shared" si="1"/>
        <v>3.2075005499999998</v>
      </c>
    </row>
    <row r="5" spans="1:16">
      <c r="A5" s="14" t="s">
        <v>166</v>
      </c>
      <c r="B5" s="5">
        <v>12.8903301309469</v>
      </c>
      <c r="C5" s="5">
        <v>26.786640847773601</v>
      </c>
      <c r="D5" s="5">
        <v>6.5137310477334402</v>
      </c>
      <c r="E5" s="5">
        <v>5.09108380001038</v>
      </c>
      <c r="F5" s="5">
        <v>-17.408493762358699</v>
      </c>
      <c r="G5" s="5">
        <v>6.4704370074558701</v>
      </c>
      <c r="H5" s="5">
        <v>14.252613599152401</v>
      </c>
      <c r="J5" s="2">
        <v>15.650774502167399</v>
      </c>
      <c r="K5" s="3"/>
      <c r="L5" s="15">
        <v>132232055</v>
      </c>
      <c r="M5" s="15">
        <f>48562415+48624098</f>
        <v>97186513</v>
      </c>
      <c r="N5" s="16">
        <f t="shared" si="0"/>
        <v>73.496939149890693</v>
      </c>
      <c r="O5" s="15">
        <f>19874668+19878235</f>
        <v>39752903</v>
      </c>
      <c r="P5" s="16">
        <f t="shared" si="1"/>
        <v>1.9876451500000001</v>
      </c>
    </row>
    <row r="6" spans="1:16">
      <c r="A6" s="14" t="s">
        <v>167</v>
      </c>
      <c r="B6" s="5">
        <v>6.6998743856609098</v>
      </c>
      <c r="C6" s="5">
        <v>17.946999923709502</v>
      </c>
      <c r="D6" s="5">
        <v>11.0863226964346</v>
      </c>
      <c r="E6" s="5">
        <v>2.9886852432354098</v>
      </c>
      <c r="F6" s="5">
        <v>-9.43530591974414</v>
      </c>
      <c r="G6" s="5">
        <v>9.4239443178081803</v>
      </c>
      <c r="H6" s="5">
        <v>18.412681298096199</v>
      </c>
      <c r="J6" s="2">
        <v>0</v>
      </c>
      <c r="K6" s="3"/>
      <c r="L6" s="15">
        <v>100407245</v>
      </c>
      <c r="M6" s="15">
        <f>38513613+38555835</f>
        <v>77069448</v>
      </c>
      <c r="N6" s="16">
        <f t="shared" si="0"/>
        <v>76.756859527417561</v>
      </c>
      <c r="O6" s="15">
        <f>28933661+28953573</f>
        <v>57887234</v>
      </c>
      <c r="P6" s="16">
        <f t="shared" si="1"/>
        <v>2.8943617000000001</v>
      </c>
    </row>
    <row r="7" spans="1:16">
      <c r="A7" s="14" t="s">
        <v>168</v>
      </c>
      <c r="B7" s="5">
        <v>8.6834667372670307</v>
      </c>
      <c r="C7" s="5">
        <v>43.6642977993085</v>
      </c>
      <c r="D7" s="5">
        <v>15.048721229856699</v>
      </c>
      <c r="E7" s="5">
        <v>4.8851903543111597</v>
      </c>
      <c r="F7" s="5">
        <v>-1.5671705257136599</v>
      </c>
      <c r="G7" s="5">
        <v>6.3609820564375603</v>
      </c>
      <c r="H7" s="5">
        <v>14.6652890903067</v>
      </c>
      <c r="J7" s="2">
        <v>5.5092161171028504</v>
      </c>
      <c r="K7" s="3"/>
      <c r="L7" s="15">
        <v>184999476</v>
      </c>
      <c r="M7" s="15">
        <f>66265557+66378899</f>
        <v>132644456</v>
      </c>
      <c r="N7" s="16">
        <f t="shared" si="0"/>
        <v>71.699909031093682</v>
      </c>
      <c r="O7" s="15">
        <f>33258192+33304812</f>
        <v>66563004</v>
      </c>
      <c r="P7" s="16">
        <f t="shared" si="1"/>
        <v>3.3281502000000001</v>
      </c>
    </row>
    <row r="8" spans="1:16">
      <c r="A8" s="14" t="s">
        <v>169</v>
      </c>
      <c r="B8" s="5">
        <v>3.8221000260353999</v>
      </c>
      <c r="C8" s="5">
        <v>28.236991855579301</v>
      </c>
      <c r="D8" s="5">
        <v>3.20602015585263</v>
      </c>
      <c r="E8" s="5">
        <v>-2.54897379899896</v>
      </c>
      <c r="F8" s="5">
        <v>-7.9204500503531996</v>
      </c>
      <c r="G8" s="5">
        <v>8.37086729958531</v>
      </c>
      <c r="H8" s="5">
        <v>19.077938514259198</v>
      </c>
      <c r="J8" s="2">
        <v>2.72857692252754</v>
      </c>
      <c r="K8" s="3"/>
      <c r="L8" s="15">
        <v>201949248</v>
      </c>
      <c r="M8" s="15">
        <f>71502426+71605897</f>
        <v>143108323</v>
      </c>
      <c r="N8" s="16">
        <f t="shared" si="0"/>
        <v>70.863508736610896</v>
      </c>
      <c r="O8" s="15">
        <f>32400727+32433909</f>
        <v>64834636</v>
      </c>
      <c r="P8" s="16">
        <f t="shared" si="1"/>
        <v>3.2417318000000002</v>
      </c>
    </row>
    <row r="9" spans="1:16">
      <c r="A9" s="14" t="s">
        <v>170</v>
      </c>
      <c r="B9" s="5">
        <v>12.7181050677901</v>
      </c>
      <c r="C9" s="5">
        <v>29.1088933132446</v>
      </c>
      <c r="D9" s="5">
        <v>12.199898839407799</v>
      </c>
      <c r="E9" s="5">
        <v>2.4213424179023901</v>
      </c>
      <c r="F9" s="5">
        <v>-5.4904048098223397</v>
      </c>
      <c r="G9" s="5">
        <v>9.6847275379502893</v>
      </c>
      <c r="H9" s="5">
        <v>13.391582921675701</v>
      </c>
      <c r="J9" s="2">
        <v>3.6417597470302399</v>
      </c>
      <c r="K9" s="3"/>
      <c r="L9" s="15">
        <v>156455143</v>
      </c>
      <c r="M9" s="15">
        <f>60576038+60662999</f>
        <v>121239037</v>
      </c>
      <c r="N9" s="16">
        <f t="shared" si="0"/>
        <v>77.491244247560459</v>
      </c>
      <c r="O9" s="15">
        <f>29480979+29511731</f>
        <v>58992710</v>
      </c>
      <c r="P9" s="16">
        <f t="shared" si="1"/>
        <v>2.9496354999999999</v>
      </c>
    </row>
    <row r="10" spans="1:16">
      <c r="A10" s="14" t="s">
        <v>171</v>
      </c>
      <c r="B10" s="5">
        <v>14.2631783537653</v>
      </c>
      <c r="C10" s="5">
        <v>32.241581944602402</v>
      </c>
      <c r="D10" s="5">
        <v>7.0745951818332999</v>
      </c>
      <c r="E10" s="5">
        <v>1.48021544773997</v>
      </c>
      <c r="F10" s="5">
        <v>-9.5547536151543095</v>
      </c>
      <c r="G10" s="5">
        <v>9.3851938905828796</v>
      </c>
      <c r="H10" s="5">
        <v>15.514686180640799</v>
      </c>
      <c r="J10" s="2">
        <v>11.3056256998455</v>
      </c>
      <c r="K10" s="3"/>
      <c r="L10" s="15">
        <v>126942078</v>
      </c>
      <c r="M10" s="15">
        <f>49250098+49376951</f>
        <v>98627049</v>
      </c>
      <c r="N10" s="16">
        <f t="shared" si="0"/>
        <v>77.694528523473522</v>
      </c>
      <c r="O10" s="15">
        <f>42426137+42491996</f>
        <v>84918133</v>
      </c>
      <c r="P10" s="16">
        <f t="shared" si="1"/>
        <v>4.2459066500000002</v>
      </c>
    </row>
    <row r="11" spans="1:16">
      <c r="A11" s="14" t="s">
        <v>172</v>
      </c>
      <c r="B11" s="5">
        <v>3.9622954004958002</v>
      </c>
      <c r="C11" s="5">
        <v>32.103298378164801</v>
      </c>
      <c r="D11" s="5">
        <v>2.4427802514808001</v>
      </c>
      <c r="E11" s="5">
        <v>-5.5727870723749504</v>
      </c>
      <c r="F11" s="5">
        <v>-10.797285681290401</v>
      </c>
      <c r="G11" s="5">
        <v>6.5587485265552301</v>
      </c>
      <c r="H11" s="5">
        <v>14.9843753198468</v>
      </c>
      <c r="J11" s="2">
        <v>0.80395490558585503</v>
      </c>
      <c r="K11" s="3"/>
      <c r="L11" s="15">
        <v>176312647</v>
      </c>
      <c r="M11" s="15">
        <f>69306783+69509745</f>
        <v>138816528</v>
      </c>
      <c r="N11" s="16">
        <f t="shared" si="0"/>
        <v>78.733165409285704</v>
      </c>
      <c r="O11" s="15">
        <f>63483177+63573078</f>
        <v>127056255</v>
      </c>
      <c r="P11" s="16">
        <f t="shared" si="1"/>
        <v>6.35281275</v>
      </c>
    </row>
    <row r="12" spans="1:16">
      <c r="A12" s="14" t="s">
        <v>173</v>
      </c>
      <c r="B12" s="5">
        <v>7.2377801583913</v>
      </c>
      <c r="C12" s="5">
        <v>21.536060741874302</v>
      </c>
      <c r="D12" s="5">
        <v>5.6583595183657804</v>
      </c>
      <c r="E12" s="5">
        <v>-1.47752782254051</v>
      </c>
      <c r="F12" s="5">
        <v>-8.4833118229407791</v>
      </c>
      <c r="G12" s="5">
        <v>5.2165985930047603</v>
      </c>
      <c r="H12" s="5">
        <v>14.9045009861746</v>
      </c>
      <c r="J12" s="7">
        <v>5.2386269441692201</v>
      </c>
      <c r="K12" s="3"/>
      <c r="L12" s="15">
        <v>122245390</v>
      </c>
      <c r="M12" s="15">
        <f>47218067+47342451</f>
        <v>94560518</v>
      </c>
      <c r="N12" s="16">
        <f t="shared" si="0"/>
        <v>77.35303392626912</v>
      </c>
      <c r="O12" s="15">
        <f>37162298+37226586</f>
        <v>74388884</v>
      </c>
      <c r="P12" s="16">
        <f t="shared" si="1"/>
        <v>3.7194441999999999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tabSelected="1" workbookViewId="0"/>
  </sheetViews>
  <sheetFormatPr defaultColWidth="9.3984375" defaultRowHeight="11.25"/>
  <cols>
    <col min="1" max="1" width="6.796875" style="14" bestFit="1" customWidth="1"/>
    <col min="2" max="2" width="13.59765625" style="4" bestFit="1" customWidth="1"/>
    <col min="3" max="3" width="8.19921875" style="4" bestFit="1" customWidth="1"/>
    <col min="4" max="4" width="23.59765625" style="4" bestFit="1" customWidth="1"/>
    <col min="5" max="5" width="8.19921875" style="4" bestFit="1" customWidth="1"/>
    <col min="6" max="6" width="14" style="4" bestFit="1" customWidth="1"/>
    <col min="7" max="7" width="9.59765625" style="4" bestFit="1" customWidth="1"/>
    <col min="8" max="8" width="19.3984375" style="4" bestFit="1" customWidth="1"/>
    <col min="9" max="16384" width="9.3984375" style="4"/>
  </cols>
  <sheetData>
    <row r="1" spans="1: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>
      <c r="A2" s="14" t="s">
        <v>174</v>
      </c>
      <c r="B2" s="5">
        <v>5.1343540971544401</v>
      </c>
      <c r="C2" s="5">
        <v>22.958338838632201</v>
      </c>
      <c r="D2" s="5">
        <v>13.088812201113599</v>
      </c>
      <c r="E2" s="5">
        <v>4.0654700194403102</v>
      </c>
      <c r="F2" s="5">
        <v>1.8208144402547599</v>
      </c>
      <c r="G2" s="5">
        <v>4.23437299184579</v>
      </c>
      <c r="H2" s="5">
        <v>24.044648338396598</v>
      </c>
    </row>
    <row r="3" spans="1:8">
      <c r="A3" s="14" t="s">
        <v>175</v>
      </c>
      <c r="B3" s="5">
        <v>3.87189001433791</v>
      </c>
      <c r="C3" s="5">
        <v>30.036940948186601</v>
      </c>
      <c r="D3" s="5">
        <v>4.2456501399433098</v>
      </c>
      <c r="E3" s="5">
        <v>3.6920456872909102</v>
      </c>
      <c r="F3" s="5">
        <v>-5.7018838961824896</v>
      </c>
      <c r="G3" s="5">
        <v>8.3712115559242797</v>
      </c>
      <c r="H3" s="5">
        <v>9.7769584738794606</v>
      </c>
    </row>
    <row r="4" spans="1:8">
      <c r="A4" s="14" t="s">
        <v>176</v>
      </c>
      <c r="B4" s="5">
        <v>3.0923159582453401</v>
      </c>
      <c r="C4" s="5">
        <v>13.187744243006501</v>
      </c>
      <c r="D4" s="5">
        <v>0.76567163485466905</v>
      </c>
      <c r="E4" s="5">
        <v>-3.1753533163554599</v>
      </c>
      <c r="F4" s="5">
        <v>-12.7859440876782</v>
      </c>
      <c r="G4" s="5">
        <v>-5.2935327468442201</v>
      </c>
      <c r="H4" s="5">
        <v>9.0764857576310796</v>
      </c>
    </row>
    <row r="5" spans="1:8">
      <c r="A5" s="14" t="s">
        <v>177</v>
      </c>
      <c r="B5" s="5">
        <v>0.87425252211568205</v>
      </c>
      <c r="C5" s="5">
        <v>14.6721972362479</v>
      </c>
      <c r="D5" s="5">
        <v>-5.2043777978944101</v>
      </c>
      <c r="E5" s="5">
        <v>-0.27523252869437398</v>
      </c>
      <c r="F5" s="5">
        <v>-14.370440809053701</v>
      </c>
      <c r="G5" s="5">
        <v>-6.7072627050717699</v>
      </c>
      <c r="H5" s="5">
        <v>3.5998224545574802</v>
      </c>
    </row>
    <row r="6" spans="1:8">
      <c r="A6" s="14" t="s">
        <v>178</v>
      </c>
      <c r="B6" s="5">
        <v>3.2349250212766898</v>
      </c>
      <c r="C6" s="5">
        <v>13.8273831238551</v>
      </c>
      <c r="D6" s="5">
        <v>4.2954429460766104</v>
      </c>
      <c r="E6" s="5">
        <v>1.18278700773971</v>
      </c>
      <c r="F6" s="5">
        <v>-2.9999665157100099</v>
      </c>
      <c r="G6" s="5">
        <v>3.0398265054389202</v>
      </c>
      <c r="H6" s="5">
        <v>5.4594015823713802</v>
      </c>
    </row>
    <row r="7" spans="1:8">
      <c r="A7" s="14" t="s">
        <v>179</v>
      </c>
      <c r="B7" s="5">
        <v>4.6715072448420996</v>
      </c>
      <c r="C7" s="5">
        <v>19.349055758291001</v>
      </c>
      <c r="D7" s="5">
        <v>1.5794035008723299</v>
      </c>
      <c r="E7" s="5">
        <v>2.8951717895799298</v>
      </c>
      <c r="F7" s="5">
        <v>4.2932212573137196</v>
      </c>
      <c r="G7" s="5">
        <v>2.6763171191097102</v>
      </c>
      <c r="H7" s="5">
        <v>11.3075842650697</v>
      </c>
    </row>
    <row r="8" spans="1:8">
      <c r="A8" s="14" t="s">
        <v>180</v>
      </c>
      <c r="B8" s="5">
        <v>-0.15198143128517899</v>
      </c>
      <c r="C8" s="5">
        <v>18.626192969542998</v>
      </c>
      <c r="D8" s="5">
        <v>5.0052200045994102</v>
      </c>
      <c r="E8" s="5">
        <v>-0.36044927465161403</v>
      </c>
      <c r="F8" s="5">
        <v>-3.1346135174732699</v>
      </c>
      <c r="G8" s="5">
        <v>1.17011334042658</v>
      </c>
      <c r="H8" s="5">
        <v>11.810349218019701</v>
      </c>
    </row>
    <row r="9" spans="1:8">
      <c r="A9" s="14" t="s">
        <v>181</v>
      </c>
      <c r="B9" s="5">
        <v>1.0141971142263599</v>
      </c>
      <c r="C9" s="5">
        <v>1.7465648805249701</v>
      </c>
      <c r="D9" s="5">
        <v>3.4660791064405299</v>
      </c>
      <c r="E9" s="5">
        <v>0.70971811717615196</v>
      </c>
      <c r="F9" s="5">
        <v>-9.4587224357317705</v>
      </c>
      <c r="G9" s="5">
        <v>-6.6085871718864304</v>
      </c>
      <c r="H9" s="5">
        <v>11.908556396118399</v>
      </c>
    </row>
    <row r="10" spans="1:8">
      <c r="A10" s="14" t="s">
        <v>182</v>
      </c>
      <c r="B10" s="5">
        <v>2.86979385877174</v>
      </c>
      <c r="C10" s="5">
        <v>12.985630030378999</v>
      </c>
      <c r="D10" s="5">
        <v>3.2569578111730699</v>
      </c>
      <c r="E10" s="5">
        <v>-0.989180707499969</v>
      </c>
      <c r="F10" s="5">
        <v>-8.2624684896495602</v>
      </c>
      <c r="G10" s="5">
        <v>3.9841823427359202</v>
      </c>
      <c r="H10" s="5">
        <v>9.5719666568357393</v>
      </c>
    </row>
    <row r="13" spans="1:8">
      <c r="A13" s="27" t="s">
        <v>183</v>
      </c>
      <c r="B13" s="27"/>
      <c r="C13" s="27"/>
      <c r="D13" s="27"/>
      <c r="E13" s="27"/>
      <c r="F13" s="27"/>
      <c r="G13" s="27"/>
      <c r="H13" s="27"/>
    </row>
    <row r="14" spans="1:8">
      <c r="A14" s="14" t="s">
        <v>0</v>
      </c>
      <c r="B14" s="4" t="s">
        <v>184</v>
      </c>
      <c r="C14" s="4" t="s">
        <v>2</v>
      </c>
      <c r="D14" s="4" t="s">
        <v>185</v>
      </c>
      <c r="E14" s="4" t="s">
        <v>4</v>
      </c>
      <c r="F14" s="4" t="s">
        <v>186</v>
      </c>
      <c r="G14" s="4" t="s">
        <v>6</v>
      </c>
      <c r="H14" s="4" t="s">
        <v>187</v>
      </c>
    </row>
    <row r="15" spans="1:8">
      <c r="A15" s="26" t="s">
        <v>188</v>
      </c>
      <c r="B15" s="25">
        <v>-0.15785328445069399</v>
      </c>
      <c r="C15" s="25">
        <v>-0.14961741254827199</v>
      </c>
      <c r="D15" s="25">
        <v>-0.200763101781988</v>
      </c>
      <c r="E15" s="25">
        <v>-0.18100044851043601</v>
      </c>
      <c r="F15" s="25">
        <v>-0.20699935300789299</v>
      </c>
      <c r="G15" s="25">
        <v>-0.168334471451316</v>
      </c>
      <c r="H15" s="25">
        <v>-0.211006948</v>
      </c>
    </row>
    <row r="16" spans="1:8">
      <c r="A16" s="26" t="s">
        <v>189</v>
      </c>
      <c r="B16" s="25">
        <v>-0.107404527644705</v>
      </c>
      <c r="C16" s="25">
        <v>-0.110357796771951</v>
      </c>
      <c r="D16" s="25">
        <v>-0.12291854403515599</v>
      </c>
      <c r="E16" s="25">
        <v>-0.12026332479523601</v>
      </c>
      <c r="F16" s="25">
        <v>-0.144694356814589</v>
      </c>
      <c r="G16" s="25">
        <v>-0.125536461966121</v>
      </c>
      <c r="H16" s="25">
        <v>-0.143237316</v>
      </c>
    </row>
  </sheetData>
  <mergeCells count="1">
    <mergeCell ref="A13:H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Ahfyth</dc:creator>
  <cp:keywords/>
  <dc:description/>
  <cp:lastModifiedBy>Kun Sun (CPY)</cp:lastModifiedBy>
  <cp:revision/>
  <dcterms:created xsi:type="dcterms:W3CDTF">2018-03-01T08:02:05Z</dcterms:created>
  <dcterms:modified xsi:type="dcterms:W3CDTF">2023-03-19T19:41:09Z</dcterms:modified>
  <cp:category/>
  <cp:contentStatus/>
</cp:coreProperties>
</file>